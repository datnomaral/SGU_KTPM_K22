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\Downloads\"/>
    </mc:Choice>
  </mc:AlternateContent>
  <xr:revisionPtr revIDLastSave="0" documentId="13_ncr:1_{B9492C1A-5866-41C7-9DF3-804940CDCCB4}" xr6:coauthVersionLast="47" xr6:coauthVersionMax="47" xr10:uidLastSave="{00000000-0000-0000-0000-000000000000}"/>
  <bookViews>
    <workbookView xWindow="-110" yWindow="-110" windowWidth="25820" windowHeight="15500" tabRatio="881" firstSheet="4" activeTab="13" xr2:uid="{00000000-000D-0000-FFFF-FFFF00000000}"/>
  </bookViews>
  <sheets>
    <sheet name="Cover" sheetId="1" r:id="rId1"/>
    <sheet name="Test Case List" sheetId="2" r:id="rId2"/>
    <sheet name="Module 1" sheetId="3" r:id="rId3"/>
    <sheet name="Danh mục" sheetId="4" r:id="rId4"/>
    <sheet name="Module 2" sheetId="5" r:id="rId5"/>
    <sheet name="Test Report" sheetId="6" r:id="rId6"/>
    <sheet name="Profit Margin" sheetId="7" r:id="rId7"/>
    <sheet name="Profit Margin%" sheetId="9" r:id="rId8"/>
    <sheet name="WAC (giá vốn)" sheetId="10" r:id="rId9"/>
    <sheet name="New Price" sheetId="11" r:id="rId10"/>
    <sheet name="Boundary Value Analysis - BVA" sheetId="14" r:id="rId11"/>
    <sheet name="Domain Analysis Testing (DAT)" sheetId="12" r:id="rId12"/>
    <sheet name="bảng Test Case chi tiết" sheetId="15" r:id="rId13"/>
    <sheet name="checklist" sheetId="13" r:id="rId14"/>
  </sheets>
  <definedNames>
    <definedName name="_xlnm._FilterDatabase" localSheetId="2" hidden="1">'Module 1'!$A$1:$L$25</definedName>
    <definedName name="_xlnm._FilterDatabase" localSheetId="4" hidden="1">'Module 2'!$A$1:$L$19</definedName>
    <definedName name="_xlnm._FilterDatabase" localSheetId="1" hidden="1">'Test Case List'!$A$1:$F$43</definedName>
    <definedName name="PRIORITY_LIST">'Danh mục'!$A$2:$A$4</definedName>
    <definedName name="STATUS_LIST">'Danh mục'!$B$2:$B$7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6" l="1"/>
  <c r="B10" i="6"/>
  <c r="B9" i="6"/>
  <c r="B8" i="6"/>
  <c r="B7" i="6"/>
  <c r="B6" i="6"/>
  <c r="B5" i="6"/>
  <c r="B4" i="6"/>
</calcChain>
</file>

<file path=xl/sharedStrings.xml><?xml version="1.0" encoding="utf-8"?>
<sst xmlns="http://schemas.openxmlformats.org/spreadsheetml/2006/main" count="928" uniqueCount="426">
  <si>
    <t>TEST CASE WORKBOOK</t>
  </si>
  <si>
    <t>Project Name</t>
  </si>
  <si>
    <t>Counter Sales – Product Number</t>
  </si>
  <si>
    <t>Modules</t>
  </si>
  <si>
    <t>Module 1: Product Number; Module 2: Profit Margin</t>
  </si>
  <si>
    <t>Version</t>
  </si>
  <si>
    <t>1.0</t>
  </si>
  <si>
    <t>Date Created</t>
  </si>
  <si>
    <t>2025-10-21</t>
  </si>
  <si>
    <t>Reviewed By</t>
  </si>
  <si>
    <t>Status</t>
  </si>
  <si>
    <t>Design</t>
  </si>
  <si>
    <t>Test Case ID</t>
  </si>
  <si>
    <t>Tiêu đề</t>
  </si>
  <si>
    <t>Module/Tính năng</t>
  </si>
  <si>
    <t>Mức ưu tiên</t>
  </si>
  <si>
    <t>Trạng thái</t>
  </si>
  <si>
    <t>Ghi chú</t>
  </si>
  <si>
    <t>PN-001</t>
  </si>
  <si>
    <t>PN-002</t>
  </si>
  <si>
    <t>PN-003</t>
  </si>
  <si>
    <t>PN-004</t>
  </si>
  <si>
    <t>PN-005</t>
  </si>
  <si>
    <t>PN-006</t>
  </si>
  <si>
    <t>PN-007</t>
  </si>
  <si>
    <t>PN-008</t>
  </si>
  <si>
    <t>PN-009</t>
  </si>
  <si>
    <t>PN-010</t>
  </si>
  <si>
    <t>PN-011</t>
  </si>
  <si>
    <t>PN-012</t>
  </si>
  <si>
    <t>PN-013</t>
  </si>
  <si>
    <t>PN-014</t>
  </si>
  <si>
    <t>PN-015</t>
  </si>
  <si>
    <t>PN-016</t>
  </si>
  <si>
    <t>PN-017</t>
  </si>
  <si>
    <t>PN-018</t>
  </si>
  <si>
    <t>PN-019</t>
  </si>
  <si>
    <t>PN-020</t>
  </si>
  <si>
    <t>PN-021</t>
  </si>
  <si>
    <t>PN-022</t>
  </si>
  <si>
    <t>PN-023</t>
  </si>
  <si>
    <t>PN-024</t>
  </si>
  <si>
    <t>PM-001</t>
  </si>
  <si>
    <t>PM-002</t>
  </si>
  <si>
    <t>PM-003</t>
  </si>
  <si>
    <t>PM-004</t>
  </si>
  <si>
    <t>PM-005</t>
  </si>
  <si>
    <t>PM-006</t>
  </si>
  <si>
    <t>PM-007</t>
  </si>
  <si>
    <t>PM-008</t>
  </si>
  <si>
    <t>PM-009</t>
  </si>
  <si>
    <t>PM-010</t>
  </si>
  <si>
    <t>PM-011</t>
  </si>
  <si>
    <t>PM-012</t>
  </si>
  <si>
    <t>PM-013</t>
  </si>
  <si>
    <t>PM-014</t>
  </si>
  <si>
    <t>PM-015</t>
  </si>
  <si>
    <t>PM-016</t>
  </si>
  <si>
    <t>PM-017</t>
  </si>
  <si>
    <t>PM-018</t>
  </si>
  <si>
    <t>Nhập Product Number hợp lệ (10 chữ số) và tồn tại</t>
  </si>
  <si>
    <t>Cho phép số 0 ở đầu Product Number</t>
  </si>
  <si>
    <t>Độ dài &lt; 10 chữ số</t>
  </si>
  <si>
    <t>Độ dài &gt; 10 chữ số</t>
  </si>
  <si>
    <t>Chứa ký tự chữ cái</t>
  </si>
  <si>
    <t>Chứa ký tự đặc biệt</t>
  </si>
  <si>
    <t>Khoảng trắng ở giữa</t>
  </si>
  <si>
    <t>Khoảng trắng ở đầu/cuối</t>
  </si>
  <si>
    <t>Paste có xuống dòng</t>
  </si>
  <si>
    <t>Không tồn tại trong hệ thống</t>
  </si>
  <si>
    <t>Product inactive</t>
  </si>
  <si>
    <t>Location inactive</t>
  </si>
  <si>
    <t>Không có ProductLocation</t>
  </si>
  <si>
    <t>ProductLocation inactive</t>
  </si>
  <si>
    <t>Unit Price = 0</t>
  </si>
  <si>
    <t>WAC thiếu/0</t>
  </si>
  <si>
    <t>Nhập liên tiếp nhiều PN</t>
  </si>
  <si>
    <t>Nhập trùng PN đã có</t>
  </si>
  <si>
    <t>Đổi Location sau khi nhập PN</t>
  </si>
  <si>
    <t>Hiệu năng nhập PN</t>
  </si>
  <si>
    <t>Nhập bằng bàn phím (Tab/Enter)</t>
  </si>
  <si>
    <t>Tải lại trang / mở lại phiên</t>
  </si>
  <si>
    <t>Unicode: zero-width space</t>
  </si>
  <si>
    <t>Nhập rỗng</t>
  </si>
  <si>
    <t>Margin% ≥ 30% → tính New Price đúng</t>
  </si>
  <si>
    <t>Margin &lt; 30% bị chặn/cảnh báo</t>
  </si>
  <si>
    <t>Nhập New Price → tự tính Margin%</t>
  </si>
  <si>
    <t>Discount% → tính New Price đúng</t>
  </si>
  <si>
    <t>Discount làm Margin&lt;30% → chặn</t>
  </si>
  <si>
    <t>WAC=0/thiếu → cảnh báo khi tính Margin</t>
  </si>
  <si>
    <t>Current thiếu → vẫn cho nhập New Price</t>
  </si>
  <si>
    <t>Giới hạn giá tối đa 999,999.99</t>
  </si>
  <si>
    <t>Giá âm/0 không hợp lệ</t>
  </si>
  <si>
    <t>Precision thập phân hợp lệ</t>
  </si>
  <si>
    <t>Đổi Margin rồi Discount (ưu tiên hiển thị cuối)</t>
  </si>
  <si>
    <t>Chỉ tính khi mất focus (blur)</t>
  </si>
  <si>
    <t>Không cho nhập chữ/ký tự đặc biệt</t>
  </si>
  <si>
    <t>Tax không ảnh hưởng Margin</t>
  </si>
  <si>
    <t>Không làm tròn tiền theo yêu cầu bài</t>
  </si>
  <si>
    <t>New Price &lt; WAC → Margin âm → chặn</t>
  </si>
  <si>
    <t>Hiệu năng Price Override &amp; tính toán</t>
  </si>
  <si>
    <t>Khôi phục sau reload/session</t>
  </si>
  <si>
    <t>Counter Sales - Product Number</t>
  </si>
  <si>
    <t>Counter Sales - Profit Margin</t>
  </si>
  <si>
    <t>High</t>
  </si>
  <si>
    <t>Medium</t>
  </si>
  <si>
    <t>Low</t>
  </si>
  <si>
    <t>Not Run</t>
  </si>
  <si>
    <t>Boundary - dưới ngưỡng</t>
  </si>
  <si>
    <t>Boundary - trên ngưỡng</t>
  </si>
  <si>
    <t>Negative</t>
  </si>
  <si>
    <t>UX</t>
  </si>
  <si>
    <t>Robustness</t>
  </si>
  <si>
    <t>Business rule</t>
  </si>
  <si>
    <t>Xác nhận quy tắc</t>
  </si>
  <si>
    <t>Liên quan Margin</t>
  </si>
  <si>
    <t>Positive flow</t>
  </si>
  <si>
    <t>Consistency</t>
  </si>
  <si>
    <t>Non-functional</t>
  </si>
  <si>
    <t>UX/Accessibility</t>
  </si>
  <si>
    <t>Stability</t>
  </si>
  <si>
    <t>Validation - Required</t>
  </si>
  <si>
    <t>Boundary - min</t>
  </si>
  <si>
    <t>Two-way calc</t>
  </si>
  <si>
    <t>Formula check</t>
  </si>
  <si>
    <t>Data integrity</t>
  </si>
  <si>
    <t>Boundary - max</t>
  </si>
  <si>
    <t>Validation</t>
  </si>
  <si>
    <t>Precision</t>
  </si>
  <si>
    <t>Theo đề bài</t>
  </si>
  <si>
    <t>Điều kiện tiên quyết</t>
  </si>
  <si>
    <t>Các bước thực hiện</t>
  </si>
  <si>
    <t>Dữ liệu kiểm thử</t>
  </si>
  <si>
    <t>Kết quả mong đợi</t>
  </si>
  <si>
    <t>Kết quả thực tế</t>
  </si>
  <si>
    <t>Defect ID</t>
  </si>
  <si>
    <t>Đã chọn Location hợp lệ; Có sản phẩm 0001234567 (Product=Active, ProductLocation=Active)</t>
  </si>
  <si>
    <t>Có sản phẩm 0000000123</t>
  </si>
  <si>
    <t>—</t>
  </si>
  <si>
    <t>Có PN=0012345678</t>
  </si>
  <si>
    <t>Có PN=1111222233</t>
  </si>
  <si>
    <t>Có PN=0022334455 nhưng Product.Active='N'</t>
  </si>
  <si>
    <t>Location.Active='N'</t>
  </si>
  <si>
    <t>Product &amp; Location active nhưng không có ProductLocation</t>
  </si>
  <si>
    <t>Có ProductLocation nhưng Active='N'</t>
  </si>
  <si>
    <t>ProductLocation.UnitPrice=0</t>
  </si>
  <si>
    <t>WAC=null/0</t>
  </si>
  <si>
    <t>Có ≥3 PN hợp lệ</t>
  </si>
  <si>
    <t>Đơn đã có PN=0001234567</t>
  </si>
  <si>
    <t>Đã thêm dòng ở Location A; không có ProductLocation tại B</t>
  </si>
  <si>
    <t>Dataset ≥100k sản phẩm</t>
  </si>
  <si>
    <t>Có đơn nháp ≥1 dòng</t>
  </si>
  <si>
    <t>1) Mở Counter Sales
2) Nhập 0001234567
3) Enter/Tab</t>
  </si>
  <si>
    <t>1) Nhập 0000000123
2) Enter</t>
  </si>
  <si>
    <t>1) Nhập 123456789
2) Enter</t>
  </si>
  <si>
    <t>1) Nhập 12345678901
2) Enter</t>
  </si>
  <si>
    <t>1) Nhập 12345A7890
2) Enter</t>
  </si>
  <si>
    <t>1) Nhập 12345-7890
2) Enter</t>
  </si>
  <si>
    <t>1) Nhập 12345 67890
2) Enter</t>
  </si>
  <si>
    <t>1) Nhập ' 0012345678 '
2) Enter</t>
  </si>
  <si>
    <t>1) Dán '1111222233\n'
2) Enter</t>
  </si>
  <si>
    <t>1) Nhập 9999999999
2) Enter</t>
  </si>
  <si>
    <t>1) Nhập 0022334455
2) Enter</t>
  </si>
  <si>
    <t>1) Nhập PN hợp lệ
2) Enter</t>
  </si>
  <si>
    <t>1) Nhập PN1
2) Nhập PN2
3) Nhập PN3</t>
  </si>
  <si>
    <t>1) Nhập lại 0001234567</t>
  </si>
  <si>
    <t>1) Đổi Location sang B</t>
  </si>
  <si>
    <t>1) Nhập PN hợp lệ
2) Đo thời gian</t>
  </si>
  <si>
    <t>1) Focus ô Product Number
2) Nhập PN hợp lệ
3) Enter/Tab</t>
  </si>
  <si>
    <t>1) Reload hoặc relogin
2) Mở lại đơn
3) Nhập PN hợp lệ</t>
  </si>
  <si>
    <t>1) Dán '1234567890\u200B'
2) Enter</t>
  </si>
  <si>
    <t>1) Để trống ô
2) Enter</t>
  </si>
  <si>
    <t>ProductNumber=0001234567</t>
  </si>
  <si>
    <t>ProductNumber=0000000123</t>
  </si>
  <si>
    <t>ProductNumber=123456789</t>
  </si>
  <si>
    <t>ProductNumber=12345678901</t>
  </si>
  <si>
    <t>ProductNumber=12345A7890</t>
  </si>
  <si>
    <t>ProductNumber=12345-7890</t>
  </si>
  <si>
    <t>ProductNumber='12345 67890'</t>
  </si>
  <si>
    <t>ProductNumber=' 0012345678 '</t>
  </si>
  <si>
    <t>ProductNumber='1111222233\n'</t>
  </si>
  <si>
    <t>ProductNumber=9999999999</t>
  </si>
  <si>
    <t>ProductNumber=0022334455</t>
  </si>
  <si>
    <t>ProductNumber=hợp lệ</t>
  </si>
  <si>
    <t>PN1, PN2, PN3</t>
  </si>
  <si>
    <t>ProductNumber='1234567890\u200B'</t>
  </si>
  <si>
    <t>Thêm dòng sản phẩm với mô tả &amp; Unit Price đúng; hiển thị * nếu taxable; không lỗi.</t>
  </si>
  <si>
    <t>Nhận diện chính xác; không cắt 0 đầu; thêm dòng.</t>
  </si>
  <si>
    <t>Chặn rời ô; thông báo 'đúng 10 chữ số'; không thêm dòng.</t>
  </si>
  <si>
    <t>Báo lỗi định dạng; không thêm dòng.</t>
  </si>
  <si>
    <t>Chặn hoặc báo 'chỉ chứa số'; không thêm dòng.</t>
  </si>
  <si>
    <t>Chặn/báo lỗi định dạng; không thêm dòng.</t>
  </si>
  <si>
    <t>Không chấp nhận; báo lỗi; không thêm dòng.</t>
  </si>
  <si>
    <t>Tự trim; xử lý hợp lệ; thêm dòng.</t>
  </si>
  <si>
    <t>Loại bỏ newline; thêm dòng.</t>
  </si>
  <si>
    <t>Thông báo 'Item not found'; không thêm dòng.</t>
  </si>
  <si>
    <t>Không cho phép bán; thông báo phù hợp; không thêm dòng.</t>
  </si>
  <si>
    <t>Không cho phép bán; thông báo 'not available at this location'.</t>
  </si>
  <si>
    <t>Theo đặc tả: cho phép + cảnh báo hoặc chặn; không lỗi.</t>
  </si>
  <si>
    <t>Cho thêm dòng; Margin/Discount cảnh báo khi dùng; không lỗi tại nhập.</t>
  </si>
  <si>
    <t>Mỗi PN thêm 1 dòng; tổng dòng tăng đúng; không ghi đè.</t>
  </si>
  <si>
    <t>Theo đặc tả: gộp tăng Quantity hoặc thêm dòng; không lỗi.</t>
  </si>
  <si>
    <t>Cảnh báo/giữ nguyên theo thiết kế; không crash.</t>
  </si>
  <si>
    <t>Thời gian phản hồi ≤ ngưỡng định nghĩa (vd 1s).</t>
  </si>
  <si>
    <t>Focus di chuyển đúng; dòng thêm; không cần chuột.</t>
  </si>
  <si>
    <t>Dữ liệu cũ còn; nhập PN mới bình thường.</t>
  </si>
  <si>
    <t>Loại bỏ ký tự vô hình hoặc báo lỗi rõ ràng.</t>
  </si>
  <si>
    <t>Bị chặn; thông báo 'Không được để trống'.</t>
  </si>
  <si>
    <t>Priority</t>
  </si>
  <si>
    <t>Passed</t>
  </si>
  <si>
    <t>Failed</t>
  </si>
  <si>
    <t>Blocked</t>
  </si>
  <si>
    <t>Out of Scope</t>
  </si>
  <si>
    <t>Deferred</t>
  </si>
  <si>
    <t>WAC=100; Current=150; Min margin=30%</t>
  </si>
  <si>
    <t>WAC=100; Min=30%</t>
  </si>
  <si>
    <t>WAC=80</t>
  </si>
  <si>
    <t>Current=200</t>
  </si>
  <si>
    <t>WAC=150; Current=220; Min=30%</t>
  </si>
  <si>
    <t>WAC=0; Current=200</t>
  </si>
  <si>
    <t>WAC=100; Current=null</t>
  </si>
  <si>
    <t>WAC=33.33; Current=60.00</t>
  </si>
  <si>
    <t>WAC=100; Current=160</t>
  </si>
  <si>
    <t>Product &amp; Customer taxable; Tax 10%</t>
  </si>
  <si>
    <t>WAC=200</t>
  </si>
  <si>
    <t>Dataset lớn</t>
  </si>
  <si>
    <t>Có đơn nháp với giá override</t>
  </si>
  <si>
    <t>1) Price Override
2) Margin=30%
3) Blur</t>
  </si>
  <si>
    <t>1) Margin=25%
2) Blur</t>
  </si>
  <si>
    <t>1) New Price=120
2) Blur</t>
  </si>
  <si>
    <t>1) Discount=10%
2) Blur</t>
  </si>
  <si>
    <t>1) Discount=25%
2) Blur</t>
  </si>
  <si>
    <t>1) Margin=40%
2) Blur</t>
  </si>
  <si>
    <t>1) New Price=150
2) Blur</t>
  </si>
  <si>
    <t>1) New=1,000,000
2) Blur</t>
  </si>
  <si>
    <t>1) New=0 hoặc -50
2) Blur</t>
  </si>
  <si>
    <t>1) Margin=50.5%
2) Blur</t>
  </si>
  <si>
    <t>1) Margin=40% → New=140
2) Discount=10% → New=126</t>
  </si>
  <si>
    <t>1) Nhập Margin nhưng chưa blur
2) Quan sát</t>
  </si>
  <si>
    <t>1) Nhập 'abc' vào Margin/Discount
2) Blur</t>
  </si>
  <si>
    <t>1) Margin=35%
2) Blur</t>
  </si>
  <si>
    <t>1) Nhập giá trị gây số lẻ
2) Blur</t>
  </si>
  <si>
    <t>1) New=150
2) Blur</t>
  </si>
  <si>
    <t>1) Mở Price Override
2) Nhập giá trị
3) Đo phản hồi</t>
  </si>
  <si>
    <t>1) Reload
2) Mở lại đơn</t>
  </si>
  <si>
    <t>WAC=100; Current=150</t>
  </si>
  <si>
    <t>New=((30/100)+1)*100=130; hợp lệ.</t>
  </si>
  <si>
    <t>Cảnh báo/chặn; không áp giá.</t>
  </si>
  <si>
    <t>Margin=((120/80)-1)*100=50%; hợp lệ.</t>
  </si>
  <si>
    <t>New=200-(200*10%)=180.</t>
  </si>
  <si>
    <t>New=165 → Margin≈10% &lt;30% → chặn/cảnh báo.</t>
  </si>
  <si>
    <t>Cảnh báo 'WAC không hợp lệ'/disable Margin.</t>
  </si>
  <si>
    <t>Lưu New Price; không crash.</t>
  </si>
  <si>
    <t>Chặn vượt phạm vi; báo lỗi rõ ràng.</t>
  </si>
  <si>
    <t>Chặn; 'Giá phải &gt; 0'.</t>
  </si>
  <si>
    <t>New≈50.00; hiển thị 2 chữ số; không làm tròn sai.</t>
  </si>
  <si>
    <t>Kết quả theo thao tác cuối; nếu policy khác → cảnh báo &amp; reset hợp lý.</t>
  </si>
  <si>
    <t>Chưa tính ngay; tính khi blur; UI ổn định.</t>
  </si>
  <si>
    <t>Báo lỗi định dạng; không áp giá.</t>
  </si>
  <si>
    <t>Margin/New Price dựa trên trước thuế; không cộng tax.</t>
  </si>
  <si>
    <t>Không áp quy tắc làm tròn.</t>
  </si>
  <si>
    <t>Margin âm → chặn (vì &lt;30%).</t>
  </si>
  <si>
    <t>Thời gian ≤ ngưỡng (vd 1s).</t>
  </si>
  <si>
    <t>Giá override còn; tính toán bình thường.</t>
  </si>
  <si>
    <t>TEST EXECUTION SUMMARY</t>
  </si>
  <si>
    <t>Metric</t>
  </si>
  <si>
    <t>Value</t>
  </si>
  <si>
    <t>Tổng số Test Case</t>
  </si>
  <si>
    <t>% Passed</t>
  </si>
  <si>
    <t>Đọc kỹ yêu cầu &amp; phân tích nghiệp vụ</t>
  </si>
  <si>
    <t>Công thức &amp; Ràng buộc:</t>
  </si>
  <si>
    <r>
      <t>Profit Margin%</t>
    </r>
    <r>
      <rPr>
        <sz val="11"/>
        <color theme="1"/>
        <rFont val="Calibri"/>
        <family val="2"/>
        <scheme val="minor"/>
      </rPr>
      <t xml:space="preserve"> = </t>
    </r>
    <r>
      <rPr>
        <sz val="10"/>
        <color theme="1"/>
        <rFont val="Arial Unicode MS"/>
      </rPr>
      <t>((New Price / WAC) - 1) * 100</t>
    </r>
  </si>
  <si>
    <r>
      <t>New Price</t>
    </r>
    <r>
      <rPr>
        <sz val="11"/>
        <color theme="1"/>
        <rFont val="Calibri"/>
        <family val="2"/>
        <scheme val="minor"/>
      </rPr>
      <t xml:space="preserve"> = </t>
    </r>
    <r>
      <rPr>
        <sz val="10"/>
        <color theme="1"/>
        <rFont val="Arial Unicode MS"/>
      </rPr>
      <t>(Profit Margin% / 100 + 1) * WAC</t>
    </r>
  </si>
  <si>
    <t>Giá trị tiền hợp lệ:</t>
  </si>
  <si>
    <t>0 ≤ Currency ≤ 999,999.99</t>
  </si>
  <si>
    <t>Yêu cầu kinh doanh:</t>
  </si>
  <si>
    <r>
      <t xml:space="preserve">Mỗi sản phẩm bán ra </t>
    </r>
    <r>
      <rPr>
        <b/>
        <sz val="11"/>
        <color theme="1"/>
        <rFont val="Calibri"/>
        <family val="2"/>
        <scheme val="minor"/>
      </rPr>
      <t>phải có lợi nhuận ít nhất 30%</t>
    </r>
  </si>
  <si>
    <r>
      <t xml:space="preserve">→ tức là </t>
    </r>
    <r>
      <rPr>
        <sz val="10"/>
        <color theme="1"/>
        <rFont val="Arial Unicode MS"/>
      </rPr>
      <t>Profit Margin% ≥ 30</t>
    </r>
  </si>
  <si>
    <r>
      <t xml:space="preserve">Nếu &lt;30% → </t>
    </r>
    <r>
      <rPr>
        <b/>
        <sz val="11"/>
        <color theme="1"/>
        <rFont val="Calibri"/>
        <family val="2"/>
        <scheme val="minor"/>
      </rPr>
      <t>không được phép bán</t>
    </r>
    <r>
      <rPr>
        <sz val="11"/>
        <color theme="1"/>
        <rFont val="Calibri"/>
        <family val="2"/>
        <scheme val="minor"/>
      </rPr>
      <t>.</t>
    </r>
  </si>
  <si>
    <t>Không kiểm tra làm tròn tiền tệ</t>
  </si>
  <si>
    <t>Xác định các input và output cần test</t>
  </si>
  <si>
    <t>Parameter</t>
  </si>
  <si>
    <t>Kiểu dữ liệu</t>
  </si>
  <si>
    <t>Miêu tả</t>
  </si>
  <si>
    <t>WAC (Weighted Average Cost)</t>
  </si>
  <si>
    <t>Currency</t>
  </si>
  <si>
    <t>Giá vốn trung bình</t>
  </si>
  <si>
    <t>Profit Margin %</t>
  </si>
  <si>
    <t>Numeric</t>
  </si>
  <si>
    <t>Tỷ lệ lợi nhuận mong muốn</t>
  </si>
  <si>
    <t>New Price</t>
  </si>
  <si>
    <t>Giá bán ra (được tính từ Margin và WAC)</t>
  </si>
  <si>
    <t>Output chính</t>
  </si>
  <si>
    <t>Validation + Message</t>
  </si>
  <si>
    <t>Kết quả hợp lệ hoặc thông báo lỗi</t>
  </si>
  <si>
    <t>Loại lớp</t>
  </si>
  <si>
    <t>Mô tả</t>
  </si>
  <si>
    <t>Ví dụ</t>
  </si>
  <si>
    <t>✅ Hợp lệ</t>
  </si>
  <si>
    <t>Profit Margin% ≥ 30</t>
  </si>
  <si>
    <t>30%, 35%, 50%</t>
  </si>
  <si>
    <t>Được chấp nhận</t>
  </si>
  <si>
    <t>❌ Không hợp lệ</t>
  </si>
  <si>
    <t>Profit Margin% &lt; 30</t>
  </si>
  <si>
    <t>0%, 10%, 29%</t>
  </si>
  <si>
    <t>Báo lỗi “Profit margin must be ≥ 30%”</t>
  </si>
  <si>
    <t>Profit Margin âm</t>
  </si>
  <si>
    <t>Báo lỗi “Invalid profit margin”</t>
  </si>
  <si>
    <t>WAC &gt; 0</t>
  </si>
  <si>
    <t>100, 5000</t>
  </si>
  <si>
    <t>Chấp nhận</t>
  </si>
  <si>
    <t>WAC = 0 hoặc âm</t>
  </si>
  <si>
    <t>0, -100</t>
  </si>
  <si>
    <t>Báo lỗi “Invalid cost value”</t>
  </si>
  <si>
    <t>0 &lt; New Price ≤ 999,999.99</t>
  </si>
  <si>
    <t>100, 500,000</t>
  </si>
  <si>
    <t>OK</t>
  </si>
  <si>
    <t>New Price &gt; 999,999.99</t>
  </si>
  <si>
    <t>Báo lỗi “Currency out of range”</t>
  </si>
  <si>
    <t>Thuộc tính</t>
  </si>
  <si>
    <t>Điểm biên</t>
  </si>
  <si>
    <t>Test Input</t>
  </si>
  <si>
    <t>Profit Margin%</t>
  </si>
  <si>
    <t>Dưới biên</t>
  </si>
  <si>
    <t>❌ Lỗi</t>
  </si>
  <si>
    <t>Đúng biên</t>
  </si>
  <si>
    <t>Trên biên</t>
  </si>
  <si>
    <t>WAC</t>
  </si>
  <si>
    <t>Trên biên (vẫn trong giới hạn)</t>
  </si>
  <si>
    <t>Đúng biên max</t>
  </si>
  <si>
    <t>Vượt biên max</t>
  </si>
  <si>
    <t>Domain kiểm thử</t>
  </si>
  <si>
    <t>Giá trị thử</t>
  </si>
  <si>
    <t>Kỳ vọng</t>
  </si>
  <si>
    <t>Domain hợp lệ của WAC</t>
  </si>
  <si>
    <t>10, 100, 999,999</t>
  </si>
  <si>
    <t>Domain ngoài giới hạn của WAC</t>
  </si>
  <si>
    <t>0, -10</t>
  </si>
  <si>
    <t>Báo lỗi</t>
  </si>
  <si>
    <t>Domain hợp lệ của Profit Margin%</t>
  </si>
  <si>
    <t>30–999,900</t>
  </si>
  <si>
    <t>Chấp nhận (miễn không vượt giới hạn tiền)</t>
  </si>
  <si>
    <t>Domain ngoài giới hạn Profit Margin%</t>
  </si>
  <si>
    <t>&lt;30 hoặc âm</t>
  </si>
  <si>
    <t>Domain hợp lệ của Currency</t>
  </si>
  <si>
    <t>0–999,999.99</t>
  </si>
  <si>
    <t>Hợp lệ</t>
  </si>
  <si>
    <t>Domain ngoài giới hạn Currency</t>
  </si>
  <si>
    <t>&gt;999,999.99</t>
  </si>
  <si>
    <t>TC ID</t>
  </si>
  <si>
    <t>Test Objective</t>
  </si>
  <si>
    <t>Input (WAC, Margin%)</t>
  </si>
  <si>
    <t>Expected New Price</t>
  </si>
  <si>
    <t>Expected Result / Message</t>
  </si>
  <si>
    <t>TC_PM_01</t>
  </si>
  <si>
    <t>Kiểm tra Profit Margin đúng biên 30%</t>
  </si>
  <si>
    <t>WAC=100, Margin=30</t>
  </si>
  <si>
    <t>✅ Pass</t>
  </si>
  <si>
    <t>TC_PM_02</t>
  </si>
  <si>
    <t>Kiểm tra Profit Margin &lt;30%</t>
  </si>
  <si>
    <t>WAC=100, Margin=20</t>
  </si>
  <si>
    <t>❌ “Profit margin must be ≥ 30%”</t>
  </si>
  <si>
    <t>TC_PM_03</t>
  </si>
  <si>
    <t>WAC=100, Margin=-10</t>
  </si>
  <si>
    <t>❌ “Invalid profit margin”</t>
  </si>
  <si>
    <t>TC_PM_04</t>
  </si>
  <si>
    <t>Profit Margin cao (ví dụ 50%)</t>
  </si>
  <si>
    <t>WAC=200, Margin=50</t>
  </si>
  <si>
    <t>TC_PM_05</t>
  </si>
  <si>
    <t>WAC=0 (chia cho 0)</t>
  </si>
  <si>
    <t>WAC=0, Margin=30</t>
  </si>
  <si>
    <t>❌ “Invalid cost value”</t>
  </si>
  <si>
    <t>TC_PM_06</t>
  </si>
  <si>
    <t>NewPrice vượt quá 999,999.99</t>
  </si>
  <si>
    <t>WAC=500,000, Margin=200</t>
  </si>
  <si>
    <t>❌ “Currency out of range”</t>
  </si>
  <si>
    <t>TC_PM_07</t>
  </si>
  <si>
    <t>Giá trị cực hạn trên (NewPrice=999,999.99)</t>
  </si>
  <si>
    <t>WAC=769,230.76, Margin=30</t>
  </si>
  <si>
    <t>TC_PM_08</t>
  </si>
  <si>
    <t>Giá trị cực hạn dưới (NewPrice=0)</t>
  </si>
  <si>
    <t>❌ “Invalid price”</t>
  </si>
  <si>
    <t>Mục kiểm tra</t>
  </si>
  <si>
    <t>Độ phủ yêu cầu</t>
  </si>
  <si>
    <t>Giá trị biên</t>
  </si>
  <si>
    <t>Negative tests</t>
  </si>
  <si>
    <t>Hiệu năng</t>
  </si>
  <si>
    <t>Bảo mật</t>
  </si>
  <si>
    <t>Quốc tế hóa (i18n)</t>
  </si>
  <si>
    <t>State dữ liệu</t>
  </si>
  <si>
    <t>Mô tả / Cần kiểm tra gì</t>
  </si>
  <si>
    <t>Cách kiểm tra thực tế (Test Steps)</t>
  </si>
  <si>
    <t>Kết quả mong đợi / Gợi ý “Đạt?”</t>
  </si>
  <si>
    <r>
      <t xml:space="preserve">Trường phải chấp nhận </t>
    </r>
    <r>
      <rPr>
        <b/>
        <sz val="11"/>
        <color theme="1"/>
        <rFont val="Calibri"/>
        <family val="2"/>
        <scheme val="minor"/>
      </rPr>
      <t>10 chữ số</t>
    </r>
    <r>
      <rPr>
        <sz val="11"/>
        <color theme="1"/>
        <rFont val="Calibri"/>
        <family val="2"/>
        <scheme val="minor"/>
      </rPr>
      <t xml:space="preserve">, bao gồm </t>
    </r>
    <r>
      <rPr>
        <b/>
        <sz val="11"/>
        <color theme="1"/>
        <rFont val="Calibri"/>
        <family val="2"/>
        <scheme val="minor"/>
      </rPr>
      <t>leading zeros (số 0 ở đầu)</t>
    </r>
    <r>
      <rPr>
        <sz val="11"/>
        <color theme="1"/>
        <rFont val="Calibri"/>
        <family val="2"/>
        <scheme val="minor"/>
      </rPr>
      <t xml:space="preserve">. Không chấp nhận ký tự khác. Có thể có ký tự đặc biệt như </t>
    </r>
    <r>
      <rPr>
        <sz val="10"/>
        <color theme="1"/>
        <rFont val="Arial Unicode MS"/>
      </rPr>
      <t>*</t>
    </r>
    <r>
      <rPr>
        <sz val="11"/>
        <color theme="1"/>
        <rFont val="Calibri"/>
        <family val="2"/>
        <scheme val="minor"/>
      </rPr>
      <t xml:space="preserve"> nếu taxable.</t>
    </r>
  </si>
  <si>
    <r>
      <t xml:space="preserve">✅ Nhập các mẫu: </t>
    </r>
    <r>
      <rPr>
        <sz val="10"/>
        <color theme="1"/>
        <rFont val="Arial Unicode MS"/>
      </rPr>
      <t>0000000001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1234567890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*1234567890</t>
    </r>
    <r>
      <rPr>
        <sz val="11"/>
        <color theme="1"/>
        <rFont val="Calibri"/>
        <family val="2"/>
        <scheme val="minor"/>
      </rPr>
      <t xml:space="preserve"> ❌ Nhập </t>
    </r>
    <r>
      <rPr>
        <sz val="10"/>
        <color theme="1"/>
        <rFont val="Arial Unicode MS"/>
      </rPr>
      <t>12345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12345678901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12345abc90</t>
    </r>
    <r>
      <rPr>
        <sz val="11"/>
        <color theme="1"/>
        <rFont val="Calibri"/>
        <family val="2"/>
        <scheme val="minor"/>
      </rPr>
      <t>.</t>
    </r>
  </si>
  <si>
    <r>
      <t xml:space="preserve">“Yes” nếu hệ thống chỉ chấp nhận </t>
    </r>
    <r>
      <rPr>
        <b/>
        <sz val="11"/>
        <color theme="1"/>
        <rFont val="Calibri"/>
        <family val="2"/>
        <scheme val="minor"/>
      </rPr>
      <t>chuỗi 10 chữ số</t>
    </r>
    <r>
      <rPr>
        <sz val="11"/>
        <color theme="1"/>
        <rFont val="Calibri"/>
        <family val="2"/>
        <scheme val="minor"/>
      </rPr>
      <t xml:space="preserve"> và xử lý </t>
    </r>
    <r>
      <rPr>
        <sz val="10"/>
        <color theme="1"/>
        <rFont val="Arial Unicode MS"/>
      </rPr>
      <t>*</t>
    </r>
    <r>
      <rPr>
        <sz val="11"/>
        <color theme="1"/>
        <rFont val="Calibri"/>
        <family val="2"/>
        <scheme val="minor"/>
      </rPr>
      <t xml:space="preserve"> đúng logic (taxable).</t>
    </r>
  </si>
  <si>
    <t>Kiểm tra giá trị nhỏ nhất và lớn nhất hợp lệ.</t>
  </si>
  <si>
    <r>
      <t xml:space="preserve">Nhập </t>
    </r>
    <r>
      <rPr>
        <sz val="10"/>
        <color theme="1"/>
        <rFont val="Arial Unicode MS"/>
      </rPr>
      <t>0000000000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</rPr>
      <t>9999999999</t>
    </r>
    <r>
      <rPr>
        <sz val="11"/>
        <color theme="1"/>
        <rFont val="Calibri"/>
        <family val="2"/>
        <scheme val="minor"/>
      </rPr>
      <t>.</t>
    </r>
  </si>
  <si>
    <t>“Yes” nếu cả 2 đều được chấp nhận mà không báo lỗi.</t>
  </si>
  <si>
    <t>Kiểm thử dữ liệu sai để xem có validation không.</t>
  </si>
  <si>
    <r>
      <t xml:space="preserve">Nhập </t>
    </r>
    <r>
      <rPr>
        <sz val="10"/>
        <color theme="1"/>
        <rFont val="Arial Unicode MS"/>
      </rPr>
      <t>1234</t>
    </r>
    <r>
      <rPr>
        <sz val="11"/>
        <color theme="1"/>
        <rFont val="Calibri"/>
        <family val="2"/>
        <scheme val="minor"/>
      </rPr>
      <t xml:space="preserve"> (ít hơn 10), </t>
    </r>
    <r>
      <rPr>
        <sz val="10"/>
        <color theme="1"/>
        <rFont val="Arial Unicode MS"/>
      </rPr>
      <t>1234567890123</t>
    </r>
    <r>
      <rPr>
        <sz val="11"/>
        <color theme="1"/>
        <rFont val="Calibri"/>
        <family val="2"/>
        <scheme val="minor"/>
      </rPr>
      <t xml:space="preserve"> (nhiều hơn 10), </t>
    </r>
    <r>
      <rPr>
        <sz val="10"/>
        <color theme="1"/>
        <rFont val="Arial Unicode MS"/>
      </rPr>
      <t>1234 5678</t>
    </r>
    <r>
      <rPr>
        <sz val="11"/>
        <color theme="1"/>
        <rFont val="Calibri"/>
        <family val="2"/>
        <scheme val="minor"/>
      </rPr>
      <t xml:space="preserve"> (khoảng trắng), </t>
    </r>
    <r>
      <rPr>
        <sz val="10"/>
        <color theme="1"/>
        <rFont val="Arial Unicode MS"/>
      </rPr>
      <t>12\n3456789</t>
    </r>
    <r>
      <rPr>
        <sz val="11"/>
        <color theme="1"/>
        <rFont val="Calibri"/>
        <family val="2"/>
        <scheme val="minor"/>
      </rPr>
      <t xml:space="preserve"> (ký tự điều khiển), </t>
    </r>
    <r>
      <rPr>
        <sz val="10"/>
        <color theme="1"/>
        <rFont val="Arial Unicode MS"/>
      </rPr>
      <t>abcdef</t>
    </r>
    <r>
      <rPr>
        <sz val="11"/>
        <color theme="1"/>
        <rFont val="Calibri"/>
        <family val="2"/>
        <scheme val="minor"/>
      </rPr>
      <t xml:space="preserve"> (chữ).</t>
    </r>
  </si>
  <si>
    <r>
      <t xml:space="preserve">“Yes” nếu hệ thống </t>
    </r>
    <r>
      <rPr>
        <b/>
        <sz val="11"/>
        <color theme="1"/>
        <rFont val="Calibri"/>
        <family val="2"/>
        <scheme val="minor"/>
      </rPr>
      <t>chặn nhập hoặc báo lỗi đúng</t>
    </r>
    <r>
      <rPr>
        <sz val="11"/>
        <color theme="1"/>
        <rFont val="Calibri"/>
        <family val="2"/>
        <scheme val="minor"/>
      </rPr>
      <t>.</t>
    </r>
  </si>
  <si>
    <t>Khả dụng / UX</t>
  </si>
  <si>
    <t>Trải nghiệm người dùng – nhập bằng bàn phím, focus, lỗi hiển thị hợp lý.</t>
  </si>
  <si>
    <r>
      <t xml:space="preserve">Dùng </t>
    </r>
    <r>
      <rPr>
        <b/>
        <sz val="11"/>
        <color theme="1"/>
        <rFont val="Calibri"/>
        <family val="2"/>
        <scheme val="minor"/>
      </rPr>
      <t>tab</t>
    </r>
    <r>
      <rPr>
        <sz val="11"/>
        <color theme="1"/>
        <rFont val="Calibri"/>
        <family val="2"/>
        <scheme val="minor"/>
      </rPr>
      <t xml:space="preserve"> hoặc bàn phím để nhập, xem focus tự động đến trường kế tiếp, lỗi hiển thị rõ ràng (tooltip, label).</t>
    </r>
  </si>
  <si>
    <t>“Yes” nếu giao diện thân thiện, lỗi dễ hiểu, focus hợp lý.</t>
  </si>
  <si>
    <t>Kiểm tra tốc độ xử lý (đặc biệt nếu tra cứu DB).</t>
  </si>
  <si>
    <t>Đo thời gian phản hồi khi nhập hoặc xác nhận — nên &lt; 1 giây.</t>
  </si>
  <si>
    <t>“Yes” nếu phản hồi nhanh, không bị lag.</t>
  </si>
  <si>
    <t>Ngăn tấn công qua input.</t>
  </si>
  <si>
    <r>
      <t xml:space="preserve">Thử nhập </t>
    </r>
    <r>
      <rPr>
        <sz val="10"/>
        <color theme="1"/>
        <rFont val="Arial Unicode MS"/>
      </rPr>
      <t>12345&lt;script&gt;alert(1)&lt;/script&gt;</t>
    </r>
    <r>
      <rPr>
        <sz val="11"/>
        <color theme="1"/>
        <rFont val="Calibri"/>
        <family val="2"/>
        <scheme val="minor"/>
      </rPr>
      <t xml:space="preserve"> hoặc </t>
    </r>
    <r>
      <rPr>
        <sz val="10"/>
        <color theme="1"/>
        <rFont val="Arial Unicode MS"/>
      </rPr>
      <t>1 OR 1=1</t>
    </r>
    <r>
      <rPr>
        <sz val="11"/>
        <color theme="1"/>
        <rFont val="Calibri"/>
        <family val="2"/>
        <scheme val="minor"/>
      </rPr>
      <t>.</t>
    </r>
  </si>
  <si>
    <r>
      <t xml:space="preserve">“Yes” nếu hệ thống </t>
    </r>
    <r>
      <rPr>
        <b/>
        <sz val="11"/>
        <color theme="1"/>
        <rFont val="Calibri"/>
        <family val="2"/>
        <scheme val="minor"/>
      </rPr>
      <t>không thực thi script, không query lỗi</t>
    </r>
    <r>
      <rPr>
        <sz val="11"/>
        <color theme="1"/>
        <rFont val="Calibri"/>
        <family val="2"/>
        <scheme val="minor"/>
      </rPr>
      <t>.</t>
    </r>
  </si>
  <si>
    <t>Kiểm tra nhập từ bàn phím tiếng Nhật, Trung, Hàn (IME).</t>
  </si>
  <si>
    <r>
      <t xml:space="preserve">Dùng IME nhập </t>
    </r>
    <r>
      <rPr>
        <sz val="10"/>
        <color theme="1"/>
        <rFont val="Arial Unicode MS"/>
      </rPr>
      <t>１２３４５６７８９０</t>
    </r>
    <r>
      <rPr>
        <sz val="11"/>
        <color theme="1"/>
        <rFont val="Calibri"/>
        <family val="2"/>
        <scheme val="minor"/>
      </rPr>
      <t xml:space="preserve"> (full-width).</t>
    </r>
  </si>
  <si>
    <t>“Yes” nếu hệ thống chuyển đúng sang số ASCII hoặc báo lỗi hợp lệ.</t>
  </si>
  <si>
    <t>Robustness (Độ bền)</t>
  </si>
  <si>
    <t>Thử các thao tác dán, xóa, sửa giữa chừng.</t>
  </si>
  <si>
    <t>Copy dán chuỗi dài hơn 10, rồi xóa/backspace liên tục.</t>
  </si>
  <si>
    <t>“Yes” nếu không crash, không mất format mask.</t>
  </si>
  <si>
    <t>Ràng buộc dữ liệu liên quan.</t>
  </si>
  <si>
    <t>Kiểm tra Product.Active và ProductLocation.Active trong DB.</t>
  </si>
  <si>
    <r>
      <t xml:space="preserve">“Yes” nếu chỉ lookup sản phẩm </t>
    </r>
    <r>
      <rPr>
        <b/>
        <sz val="11"/>
        <color theme="1"/>
        <rFont val="Calibri"/>
        <family val="2"/>
        <scheme val="minor"/>
      </rPr>
      <t>còn hoạt động</t>
    </r>
    <r>
      <rPr>
        <sz val="11"/>
        <color theme="1"/>
        <rFont val="Calibri"/>
        <family val="2"/>
        <scheme val="minor"/>
      </rPr>
      <t>.</t>
    </r>
  </si>
  <si>
    <t>Truy vết yêu cầu (Traceability)</t>
  </si>
  <si>
    <t>Liên kết với yêu cầu gốc (Req ID).</t>
  </si>
  <si>
    <t>Đảm bảo mỗi test case có mã yêu cầu tương ứng (VD: REQ-101).</t>
  </si>
  <si>
    <t>“Yes” nếu mỗi test case có ID đối chiếu được.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</si>
</sst>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0" borderId="0" xfId="0" applyFont="1"/>
    <xf numFmtId="10" fontId="0" fillId="0" borderId="1" xfId="0" applyNumberFormat="1" applyBorder="1"/>
    <xf numFmtId="0" fontId="2" fillId="0" borderId="0" xfId="0" applyFont="1"/>
    <xf numFmtId="0" fontId="4" fillId="0" borderId="0" xfId="0" applyFont="1"/>
    <xf numFmtId="9" fontId="0" fillId="0" borderId="0" xfId="0" applyNumberFormat="1"/>
    <xf numFmtId="3" fontId="0" fillId="0" borderId="0" xfId="0" applyNumberFormat="1"/>
    <xf numFmtId="10" fontId="0" fillId="0" borderId="0" xfId="0" applyNumberFormat="1"/>
    <xf numFmtId="4" fontId="0" fillId="0" borderId="0" xfId="0" applyNumberForma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10" sqref="B10"/>
    </sheetView>
  </sheetViews>
  <sheetFormatPr defaultRowHeight="14.5"/>
  <cols>
    <col min="1" max="1" width="36.36328125" customWidth="1"/>
    <col min="2" max="2" width="60.7265625" customWidth="1"/>
  </cols>
  <sheetData>
    <row r="1" spans="1:2" ht="2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/>
    </row>
    <row r="8" spans="1:2">
      <c r="A8" s="2" t="s">
        <v>10</v>
      </c>
      <c r="B8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topLeftCell="D1" workbookViewId="0">
      <pane ySplit="1" topLeftCell="A32" activePane="bottomLeft" state="frozen"/>
      <selection pane="bottomLeft" activeCell="B42" sqref="B42"/>
    </sheetView>
  </sheetViews>
  <sheetFormatPr defaultRowHeight="14.5"/>
  <cols>
    <col min="1" max="1" width="18.7265625" customWidth="1"/>
    <col min="2" max="2" width="30.7265625" customWidth="1"/>
    <col min="3" max="6" width="18.7265625" customWidth="1"/>
  </cols>
  <sheetData>
    <row r="1" spans="1:6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</row>
    <row r="2" spans="1:6" ht="29">
      <c r="A2" s="5" t="s">
        <v>18</v>
      </c>
      <c r="B2" s="5" t="s">
        <v>60</v>
      </c>
      <c r="C2" s="5" t="s">
        <v>102</v>
      </c>
      <c r="D2" s="5" t="s">
        <v>104</v>
      </c>
      <c r="E2" s="5" t="s">
        <v>107</v>
      </c>
      <c r="F2" s="5"/>
    </row>
    <row r="3" spans="1:6" ht="29">
      <c r="A3" s="6" t="s">
        <v>19</v>
      </c>
      <c r="B3" s="6" t="s">
        <v>61</v>
      </c>
      <c r="C3" s="6" t="s">
        <v>102</v>
      </c>
      <c r="D3" s="6" t="s">
        <v>104</v>
      </c>
      <c r="E3" s="6" t="s">
        <v>107</v>
      </c>
      <c r="F3" s="6"/>
    </row>
    <row r="4" spans="1:6" ht="29">
      <c r="A4" s="5" t="s">
        <v>20</v>
      </c>
      <c r="B4" s="5" t="s">
        <v>62</v>
      </c>
      <c r="C4" s="5" t="s">
        <v>102</v>
      </c>
      <c r="D4" s="5" t="s">
        <v>104</v>
      </c>
      <c r="E4" s="5" t="s">
        <v>107</v>
      </c>
      <c r="F4" s="5" t="s">
        <v>108</v>
      </c>
    </row>
    <row r="5" spans="1:6" ht="29">
      <c r="A5" s="6" t="s">
        <v>21</v>
      </c>
      <c r="B5" s="6" t="s">
        <v>63</v>
      </c>
      <c r="C5" s="6" t="s">
        <v>102</v>
      </c>
      <c r="D5" s="6" t="s">
        <v>104</v>
      </c>
      <c r="E5" s="6" t="s">
        <v>107</v>
      </c>
      <c r="F5" s="6" t="s">
        <v>109</v>
      </c>
    </row>
    <row r="6" spans="1:6" ht="29">
      <c r="A6" s="5" t="s">
        <v>22</v>
      </c>
      <c r="B6" s="5" t="s">
        <v>64</v>
      </c>
      <c r="C6" s="5" t="s">
        <v>102</v>
      </c>
      <c r="D6" s="5" t="s">
        <v>105</v>
      </c>
      <c r="E6" s="5" t="s">
        <v>107</v>
      </c>
      <c r="F6" s="5" t="s">
        <v>110</v>
      </c>
    </row>
    <row r="7" spans="1:6" ht="29">
      <c r="A7" s="6" t="s">
        <v>23</v>
      </c>
      <c r="B7" s="6" t="s">
        <v>65</v>
      </c>
      <c r="C7" s="6" t="s">
        <v>102</v>
      </c>
      <c r="D7" s="6" t="s">
        <v>105</v>
      </c>
      <c r="E7" s="6" t="s">
        <v>107</v>
      </c>
      <c r="F7" s="6" t="s">
        <v>110</v>
      </c>
    </row>
    <row r="8" spans="1:6" ht="29">
      <c r="A8" s="5" t="s">
        <v>24</v>
      </c>
      <c r="B8" s="5" t="s">
        <v>66</v>
      </c>
      <c r="C8" s="5" t="s">
        <v>102</v>
      </c>
      <c r="D8" s="5" t="s">
        <v>105</v>
      </c>
      <c r="E8" s="5" t="s">
        <v>107</v>
      </c>
      <c r="F8" s="5" t="s">
        <v>110</v>
      </c>
    </row>
    <row r="9" spans="1:6" ht="29">
      <c r="A9" s="6" t="s">
        <v>25</v>
      </c>
      <c r="B9" s="6" t="s">
        <v>67</v>
      </c>
      <c r="C9" s="6" t="s">
        <v>102</v>
      </c>
      <c r="D9" s="6" t="s">
        <v>106</v>
      </c>
      <c r="E9" s="6" t="s">
        <v>107</v>
      </c>
      <c r="F9" s="6" t="s">
        <v>111</v>
      </c>
    </row>
    <row r="10" spans="1:6" ht="29">
      <c r="A10" s="5" t="s">
        <v>26</v>
      </c>
      <c r="B10" s="5" t="s">
        <v>68</v>
      </c>
      <c r="C10" s="5" t="s">
        <v>102</v>
      </c>
      <c r="D10" s="5" t="s">
        <v>106</v>
      </c>
      <c r="E10" s="5" t="s">
        <v>107</v>
      </c>
      <c r="F10" s="5" t="s">
        <v>112</v>
      </c>
    </row>
    <row r="11" spans="1:6" ht="29">
      <c r="A11" s="6" t="s">
        <v>27</v>
      </c>
      <c r="B11" s="6" t="s">
        <v>69</v>
      </c>
      <c r="C11" s="6" t="s">
        <v>102</v>
      </c>
      <c r="D11" s="6" t="s">
        <v>104</v>
      </c>
      <c r="E11" s="6" t="s">
        <v>107</v>
      </c>
      <c r="F11" s="6" t="s">
        <v>110</v>
      </c>
    </row>
    <row r="12" spans="1:6" ht="29">
      <c r="A12" s="5" t="s">
        <v>28</v>
      </c>
      <c r="B12" s="5" t="s">
        <v>70</v>
      </c>
      <c r="C12" s="5" t="s">
        <v>102</v>
      </c>
      <c r="D12" s="5" t="s">
        <v>104</v>
      </c>
      <c r="E12" s="5" t="s">
        <v>107</v>
      </c>
      <c r="F12" s="5" t="s">
        <v>113</v>
      </c>
    </row>
    <row r="13" spans="1:6" ht="29">
      <c r="A13" s="6" t="s">
        <v>29</v>
      </c>
      <c r="B13" s="6" t="s">
        <v>71</v>
      </c>
      <c r="C13" s="6" t="s">
        <v>102</v>
      </c>
      <c r="D13" s="6" t="s">
        <v>105</v>
      </c>
      <c r="E13" s="6" t="s">
        <v>107</v>
      </c>
      <c r="F13" s="6" t="s">
        <v>113</v>
      </c>
    </row>
    <row r="14" spans="1:6" ht="29">
      <c r="A14" s="5" t="s">
        <v>30</v>
      </c>
      <c r="B14" s="5" t="s">
        <v>72</v>
      </c>
      <c r="C14" s="5" t="s">
        <v>102</v>
      </c>
      <c r="D14" s="5" t="s">
        <v>104</v>
      </c>
      <c r="E14" s="5" t="s">
        <v>107</v>
      </c>
      <c r="F14" s="5" t="s">
        <v>113</v>
      </c>
    </row>
    <row r="15" spans="1:6" ht="29">
      <c r="A15" s="6" t="s">
        <v>31</v>
      </c>
      <c r="B15" s="6" t="s">
        <v>73</v>
      </c>
      <c r="C15" s="6" t="s">
        <v>102</v>
      </c>
      <c r="D15" s="6" t="s">
        <v>104</v>
      </c>
      <c r="E15" s="6" t="s">
        <v>107</v>
      </c>
      <c r="F15" s="6" t="s">
        <v>113</v>
      </c>
    </row>
    <row r="16" spans="1:6" ht="29">
      <c r="A16" s="5" t="s">
        <v>32</v>
      </c>
      <c r="B16" s="5" t="s">
        <v>74</v>
      </c>
      <c r="C16" s="5" t="s">
        <v>102</v>
      </c>
      <c r="D16" s="5" t="s">
        <v>105</v>
      </c>
      <c r="E16" s="5" t="s">
        <v>107</v>
      </c>
      <c r="F16" s="5" t="s">
        <v>114</v>
      </c>
    </row>
    <row r="17" spans="1:6" ht="29">
      <c r="A17" s="6" t="s">
        <v>33</v>
      </c>
      <c r="B17" s="6" t="s">
        <v>75</v>
      </c>
      <c r="C17" s="6" t="s">
        <v>102</v>
      </c>
      <c r="D17" s="6" t="s">
        <v>106</v>
      </c>
      <c r="E17" s="6" t="s">
        <v>107</v>
      </c>
      <c r="F17" s="6" t="s">
        <v>115</v>
      </c>
    </row>
    <row r="18" spans="1:6" ht="29">
      <c r="A18" s="5" t="s">
        <v>34</v>
      </c>
      <c r="B18" s="5" t="s">
        <v>76</v>
      </c>
      <c r="C18" s="5" t="s">
        <v>102</v>
      </c>
      <c r="D18" s="5" t="s">
        <v>105</v>
      </c>
      <c r="E18" s="5" t="s">
        <v>107</v>
      </c>
      <c r="F18" s="5" t="s">
        <v>116</v>
      </c>
    </row>
    <row r="19" spans="1:6" ht="29">
      <c r="A19" s="6" t="s">
        <v>35</v>
      </c>
      <c r="B19" s="6" t="s">
        <v>77</v>
      </c>
      <c r="C19" s="6" t="s">
        <v>102</v>
      </c>
      <c r="D19" s="6" t="s">
        <v>105</v>
      </c>
      <c r="E19" s="6" t="s">
        <v>107</v>
      </c>
      <c r="F19" s="6" t="s">
        <v>114</v>
      </c>
    </row>
    <row r="20" spans="1:6" ht="29">
      <c r="A20" s="5" t="s">
        <v>36</v>
      </c>
      <c r="B20" s="5" t="s">
        <v>78</v>
      </c>
      <c r="C20" s="5" t="s">
        <v>102</v>
      </c>
      <c r="D20" s="5" t="s">
        <v>106</v>
      </c>
      <c r="E20" s="5" t="s">
        <v>107</v>
      </c>
      <c r="F20" s="5" t="s">
        <v>117</v>
      </c>
    </row>
    <row r="21" spans="1:6" ht="29">
      <c r="A21" s="6" t="s">
        <v>37</v>
      </c>
      <c r="B21" s="6" t="s">
        <v>79</v>
      </c>
      <c r="C21" s="6" t="s">
        <v>102</v>
      </c>
      <c r="D21" s="6" t="s">
        <v>106</v>
      </c>
      <c r="E21" s="6" t="s">
        <v>107</v>
      </c>
      <c r="F21" s="6" t="s">
        <v>118</v>
      </c>
    </row>
    <row r="22" spans="1:6" ht="29">
      <c r="A22" s="5" t="s">
        <v>38</v>
      </c>
      <c r="B22" s="5" t="s">
        <v>80</v>
      </c>
      <c r="C22" s="5" t="s">
        <v>102</v>
      </c>
      <c r="D22" s="5" t="s">
        <v>106</v>
      </c>
      <c r="E22" s="5" t="s">
        <v>107</v>
      </c>
      <c r="F22" s="5" t="s">
        <v>119</v>
      </c>
    </row>
    <row r="23" spans="1:6" ht="29">
      <c r="A23" s="6" t="s">
        <v>39</v>
      </c>
      <c r="B23" s="6" t="s">
        <v>81</v>
      </c>
      <c r="C23" s="6" t="s">
        <v>102</v>
      </c>
      <c r="D23" s="6" t="s">
        <v>106</v>
      </c>
      <c r="E23" s="6" t="s">
        <v>107</v>
      </c>
      <c r="F23" s="6" t="s">
        <v>120</v>
      </c>
    </row>
    <row r="24" spans="1:6" ht="29">
      <c r="A24" s="5" t="s">
        <v>40</v>
      </c>
      <c r="B24" s="5" t="s">
        <v>82</v>
      </c>
      <c r="C24" s="5" t="s">
        <v>102</v>
      </c>
      <c r="D24" s="5" t="s">
        <v>106</v>
      </c>
      <c r="E24" s="5" t="s">
        <v>107</v>
      </c>
      <c r="F24" s="5" t="s">
        <v>112</v>
      </c>
    </row>
    <row r="25" spans="1:6" ht="29">
      <c r="A25" s="6" t="s">
        <v>41</v>
      </c>
      <c r="B25" s="6" t="s">
        <v>83</v>
      </c>
      <c r="C25" s="6" t="s">
        <v>102</v>
      </c>
      <c r="D25" s="6" t="s">
        <v>104</v>
      </c>
      <c r="E25" s="6" t="s">
        <v>107</v>
      </c>
      <c r="F25" s="6" t="s">
        <v>121</v>
      </c>
    </row>
    <row r="26" spans="1:6" ht="29">
      <c r="A26" s="5" t="s">
        <v>42</v>
      </c>
      <c r="B26" s="5" t="s">
        <v>84</v>
      </c>
      <c r="C26" s="5" t="s">
        <v>103</v>
      </c>
      <c r="D26" s="5" t="s">
        <v>104</v>
      </c>
      <c r="E26" s="5" t="s">
        <v>107</v>
      </c>
      <c r="F26" s="5" t="s">
        <v>122</v>
      </c>
    </row>
    <row r="27" spans="1:6" ht="29">
      <c r="A27" s="6" t="s">
        <v>43</v>
      </c>
      <c r="B27" s="6" t="s">
        <v>85</v>
      </c>
      <c r="C27" s="6" t="s">
        <v>103</v>
      </c>
      <c r="D27" s="6" t="s">
        <v>104</v>
      </c>
      <c r="E27" s="6" t="s">
        <v>107</v>
      </c>
      <c r="F27" s="6" t="s">
        <v>110</v>
      </c>
    </row>
    <row r="28" spans="1:6" ht="29">
      <c r="A28" s="5" t="s">
        <v>44</v>
      </c>
      <c r="B28" s="5" t="s">
        <v>86</v>
      </c>
      <c r="C28" s="5" t="s">
        <v>103</v>
      </c>
      <c r="D28" s="5" t="s">
        <v>104</v>
      </c>
      <c r="E28" s="5" t="s">
        <v>107</v>
      </c>
      <c r="F28" s="5" t="s">
        <v>123</v>
      </c>
    </row>
    <row r="29" spans="1:6" ht="29">
      <c r="A29" s="6" t="s">
        <v>45</v>
      </c>
      <c r="B29" s="6" t="s">
        <v>87</v>
      </c>
      <c r="C29" s="6" t="s">
        <v>103</v>
      </c>
      <c r="D29" s="6" t="s">
        <v>104</v>
      </c>
      <c r="E29" s="6" t="s">
        <v>107</v>
      </c>
      <c r="F29" s="6" t="s">
        <v>124</v>
      </c>
    </row>
    <row r="30" spans="1:6" ht="29">
      <c r="A30" s="5" t="s">
        <v>46</v>
      </c>
      <c r="B30" s="5" t="s">
        <v>88</v>
      </c>
      <c r="C30" s="5" t="s">
        <v>103</v>
      </c>
      <c r="D30" s="5" t="s">
        <v>104</v>
      </c>
      <c r="E30" s="5" t="s">
        <v>107</v>
      </c>
      <c r="F30" s="5" t="s">
        <v>113</v>
      </c>
    </row>
    <row r="31" spans="1:6" ht="29">
      <c r="A31" s="6" t="s">
        <v>47</v>
      </c>
      <c r="B31" s="6" t="s">
        <v>89</v>
      </c>
      <c r="C31" s="6" t="s">
        <v>103</v>
      </c>
      <c r="D31" s="6" t="s">
        <v>105</v>
      </c>
      <c r="E31" s="6" t="s">
        <v>107</v>
      </c>
      <c r="F31" s="6" t="s">
        <v>125</v>
      </c>
    </row>
    <row r="32" spans="1:6" ht="29">
      <c r="A32" s="5" t="s">
        <v>48</v>
      </c>
      <c r="B32" s="5" t="s">
        <v>90</v>
      </c>
      <c r="C32" s="5" t="s">
        <v>103</v>
      </c>
      <c r="D32" s="5" t="s">
        <v>106</v>
      </c>
      <c r="E32" s="5" t="s">
        <v>107</v>
      </c>
      <c r="F32" s="5" t="s">
        <v>112</v>
      </c>
    </row>
    <row r="33" spans="1:6" ht="29">
      <c r="A33" s="6" t="s">
        <v>49</v>
      </c>
      <c r="B33" s="6" t="s">
        <v>91</v>
      </c>
      <c r="C33" s="6" t="s">
        <v>103</v>
      </c>
      <c r="D33" s="6" t="s">
        <v>105</v>
      </c>
      <c r="E33" s="6" t="s">
        <v>107</v>
      </c>
      <c r="F33" s="6" t="s">
        <v>126</v>
      </c>
    </row>
    <row r="34" spans="1:6" ht="29">
      <c r="A34" s="5" t="s">
        <v>50</v>
      </c>
      <c r="B34" s="5" t="s">
        <v>92</v>
      </c>
      <c r="C34" s="5" t="s">
        <v>103</v>
      </c>
      <c r="D34" s="5" t="s">
        <v>104</v>
      </c>
      <c r="E34" s="5" t="s">
        <v>107</v>
      </c>
      <c r="F34" s="5" t="s">
        <v>127</v>
      </c>
    </row>
    <row r="35" spans="1:6" ht="29">
      <c r="A35" s="6" t="s">
        <v>51</v>
      </c>
      <c r="B35" s="6" t="s">
        <v>93</v>
      </c>
      <c r="C35" s="6" t="s">
        <v>103</v>
      </c>
      <c r="D35" s="6" t="s">
        <v>106</v>
      </c>
      <c r="E35" s="6" t="s">
        <v>107</v>
      </c>
      <c r="F35" s="6" t="s">
        <v>128</v>
      </c>
    </row>
    <row r="36" spans="1:6" ht="29">
      <c r="A36" s="5" t="s">
        <v>52</v>
      </c>
      <c r="B36" s="5" t="s">
        <v>94</v>
      </c>
      <c r="C36" s="5" t="s">
        <v>103</v>
      </c>
      <c r="D36" s="5" t="s">
        <v>105</v>
      </c>
      <c r="E36" s="5" t="s">
        <v>107</v>
      </c>
      <c r="F36" s="5" t="s">
        <v>117</v>
      </c>
    </row>
    <row r="37" spans="1:6" ht="29">
      <c r="A37" s="6" t="s">
        <v>53</v>
      </c>
      <c r="B37" s="6" t="s">
        <v>95</v>
      </c>
      <c r="C37" s="6" t="s">
        <v>103</v>
      </c>
      <c r="D37" s="6" t="s">
        <v>106</v>
      </c>
      <c r="E37" s="6" t="s">
        <v>107</v>
      </c>
      <c r="F37" s="6" t="s">
        <v>111</v>
      </c>
    </row>
    <row r="38" spans="1:6" ht="29">
      <c r="A38" s="5" t="s">
        <v>54</v>
      </c>
      <c r="B38" s="5" t="s">
        <v>96</v>
      </c>
      <c r="C38" s="5" t="s">
        <v>103</v>
      </c>
      <c r="D38" s="5" t="s">
        <v>105</v>
      </c>
      <c r="E38" s="5" t="s">
        <v>107</v>
      </c>
      <c r="F38" s="5" t="s">
        <v>110</v>
      </c>
    </row>
    <row r="39" spans="1:6" ht="29">
      <c r="A39" s="6" t="s">
        <v>55</v>
      </c>
      <c r="B39" s="6" t="s">
        <v>97</v>
      </c>
      <c r="C39" s="6" t="s">
        <v>103</v>
      </c>
      <c r="D39" s="6" t="s">
        <v>106</v>
      </c>
      <c r="E39" s="6" t="s">
        <v>107</v>
      </c>
      <c r="F39" s="6" t="s">
        <v>113</v>
      </c>
    </row>
    <row r="40" spans="1:6" ht="29">
      <c r="A40" s="5" t="s">
        <v>56</v>
      </c>
      <c r="B40" s="5" t="s">
        <v>98</v>
      </c>
      <c r="C40" s="5" t="s">
        <v>103</v>
      </c>
      <c r="D40" s="5" t="s">
        <v>106</v>
      </c>
      <c r="E40" s="5" t="s">
        <v>107</v>
      </c>
      <c r="F40" s="5" t="s">
        <v>129</v>
      </c>
    </row>
    <row r="41" spans="1:6" ht="29">
      <c r="A41" s="6" t="s">
        <v>57</v>
      </c>
      <c r="B41" s="6" t="s">
        <v>99</v>
      </c>
      <c r="C41" s="6" t="s">
        <v>103</v>
      </c>
      <c r="D41" s="6" t="s">
        <v>104</v>
      </c>
      <c r="E41" s="6" t="s">
        <v>107</v>
      </c>
      <c r="F41" s="6" t="s">
        <v>110</v>
      </c>
    </row>
    <row r="42" spans="1:6" ht="29">
      <c r="A42" s="5" t="s">
        <v>58</v>
      </c>
      <c r="B42" s="5" t="s">
        <v>100</v>
      </c>
      <c r="C42" s="5" t="s">
        <v>103</v>
      </c>
      <c r="D42" s="5" t="s">
        <v>106</v>
      </c>
      <c r="E42" s="5" t="s">
        <v>107</v>
      </c>
      <c r="F42" s="5" t="s">
        <v>118</v>
      </c>
    </row>
    <row r="43" spans="1:6" ht="29">
      <c r="A43" s="6" t="s">
        <v>59</v>
      </c>
      <c r="B43" s="6" t="s">
        <v>101</v>
      </c>
      <c r="C43" s="6" t="s">
        <v>103</v>
      </c>
      <c r="D43" s="6" t="s">
        <v>106</v>
      </c>
      <c r="E43" s="6" t="s">
        <v>107</v>
      </c>
      <c r="F43" s="6" t="s">
        <v>120</v>
      </c>
    </row>
  </sheetData>
  <autoFilter ref="A1:F4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workbookViewId="0">
      <pane ySplit="1" topLeftCell="A4" activePane="bottomLeft" state="frozen"/>
      <selection pane="bottomLeft" activeCell="B15" sqref="B15"/>
    </sheetView>
  </sheetViews>
  <sheetFormatPr defaultRowHeight="14.5"/>
  <cols>
    <col min="1" max="1" width="14.7265625" customWidth="1"/>
    <col min="2" max="2" width="36.7265625" customWidth="1"/>
    <col min="3" max="3" width="30.7265625" customWidth="1"/>
    <col min="4" max="4" width="12.7265625" customWidth="1"/>
    <col min="5" max="5" width="34.7265625" customWidth="1"/>
    <col min="6" max="6" width="48.7265625" customWidth="1"/>
    <col min="7" max="7" width="24.7265625" customWidth="1"/>
    <col min="8" max="8" width="48.7265625" customWidth="1"/>
    <col min="9" max="9" width="24.7265625" customWidth="1"/>
    <col min="10" max="10" width="16.7265625" customWidth="1"/>
    <col min="11" max="11" width="12.7265625" customWidth="1"/>
    <col min="12" max="12" width="18.7265625" customWidth="1"/>
  </cols>
  <sheetData>
    <row r="1" spans="1:12">
      <c r="A1" s="4" t="s">
        <v>12</v>
      </c>
      <c r="B1" s="4" t="s">
        <v>13</v>
      </c>
      <c r="C1" s="4" t="s">
        <v>14</v>
      </c>
      <c r="D1" s="4" t="s">
        <v>15</v>
      </c>
      <c r="E1" s="4" t="s">
        <v>130</v>
      </c>
      <c r="F1" s="4" t="s">
        <v>131</v>
      </c>
      <c r="G1" s="4" t="s">
        <v>132</v>
      </c>
      <c r="H1" s="4" t="s">
        <v>133</v>
      </c>
      <c r="I1" s="4" t="s">
        <v>134</v>
      </c>
      <c r="J1" s="4" t="s">
        <v>16</v>
      </c>
      <c r="K1" s="4" t="s">
        <v>135</v>
      </c>
      <c r="L1" s="4" t="s">
        <v>17</v>
      </c>
    </row>
    <row r="2" spans="1:12" ht="43.5">
      <c r="A2" s="5" t="s">
        <v>18</v>
      </c>
      <c r="B2" s="5" t="s">
        <v>60</v>
      </c>
      <c r="C2" s="5" t="s">
        <v>102</v>
      </c>
      <c r="D2" s="5" t="s">
        <v>104</v>
      </c>
      <c r="E2" s="5" t="s">
        <v>136</v>
      </c>
      <c r="F2" s="5" t="s">
        <v>152</v>
      </c>
      <c r="G2" s="5" t="s">
        <v>172</v>
      </c>
      <c r="H2" s="5" t="s">
        <v>186</v>
      </c>
      <c r="I2" s="5"/>
      <c r="J2" s="5" t="s">
        <v>107</v>
      </c>
      <c r="K2" s="5"/>
      <c r="L2" s="5"/>
    </row>
    <row r="3" spans="1:12" ht="29">
      <c r="A3" s="6" t="s">
        <v>19</v>
      </c>
      <c r="B3" s="6" t="s">
        <v>61</v>
      </c>
      <c r="C3" s="6" t="s">
        <v>102</v>
      </c>
      <c r="D3" s="6" t="s">
        <v>104</v>
      </c>
      <c r="E3" s="6" t="s">
        <v>137</v>
      </c>
      <c r="F3" s="6" t="s">
        <v>153</v>
      </c>
      <c r="G3" s="6" t="s">
        <v>173</v>
      </c>
      <c r="H3" s="6" t="s">
        <v>187</v>
      </c>
      <c r="I3" s="6"/>
      <c r="J3" s="6" t="s">
        <v>107</v>
      </c>
      <c r="K3" s="6"/>
      <c r="L3" s="6"/>
    </row>
    <row r="4" spans="1:12" ht="29">
      <c r="A4" s="5" t="s">
        <v>20</v>
      </c>
      <c r="B4" s="5" t="s">
        <v>62</v>
      </c>
      <c r="C4" s="5" t="s">
        <v>102</v>
      </c>
      <c r="D4" s="5" t="s">
        <v>104</v>
      </c>
      <c r="E4" s="5" t="s">
        <v>138</v>
      </c>
      <c r="F4" s="5" t="s">
        <v>154</v>
      </c>
      <c r="G4" s="5" t="s">
        <v>174</v>
      </c>
      <c r="H4" s="5" t="s">
        <v>188</v>
      </c>
      <c r="I4" s="5"/>
      <c r="J4" s="5" t="s">
        <v>107</v>
      </c>
      <c r="K4" s="5"/>
      <c r="L4" s="5" t="s">
        <v>108</v>
      </c>
    </row>
    <row r="5" spans="1:12" ht="29">
      <c r="A5" s="6" t="s">
        <v>21</v>
      </c>
      <c r="B5" s="6" t="s">
        <v>63</v>
      </c>
      <c r="C5" s="6" t="s">
        <v>102</v>
      </c>
      <c r="D5" s="6" t="s">
        <v>104</v>
      </c>
      <c r="E5" s="6" t="s">
        <v>138</v>
      </c>
      <c r="F5" s="6" t="s">
        <v>155</v>
      </c>
      <c r="G5" s="6" t="s">
        <v>175</v>
      </c>
      <c r="H5" s="6" t="s">
        <v>189</v>
      </c>
      <c r="I5" s="6"/>
      <c r="J5" s="6" t="s">
        <v>107</v>
      </c>
      <c r="K5" s="6"/>
      <c r="L5" s="6" t="s">
        <v>109</v>
      </c>
    </row>
    <row r="6" spans="1:12" ht="29">
      <c r="A6" s="5" t="s">
        <v>22</v>
      </c>
      <c r="B6" s="5" t="s">
        <v>64</v>
      </c>
      <c r="C6" s="5" t="s">
        <v>102</v>
      </c>
      <c r="D6" s="5" t="s">
        <v>105</v>
      </c>
      <c r="E6" s="5" t="s">
        <v>138</v>
      </c>
      <c r="F6" s="5" t="s">
        <v>156</v>
      </c>
      <c r="G6" s="5" t="s">
        <v>176</v>
      </c>
      <c r="H6" s="5" t="s">
        <v>190</v>
      </c>
      <c r="I6" s="5"/>
      <c r="J6" s="5" t="s">
        <v>107</v>
      </c>
      <c r="K6" s="5"/>
      <c r="L6" s="5" t="s">
        <v>110</v>
      </c>
    </row>
    <row r="7" spans="1:12" ht="29">
      <c r="A7" s="6" t="s">
        <v>23</v>
      </c>
      <c r="B7" s="6" t="s">
        <v>65</v>
      </c>
      <c r="C7" s="6" t="s">
        <v>102</v>
      </c>
      <c r="D7" s="6" t="s">
        <v>105</v>
      </c>
      <c r="E7" s="6" t="s">
        <v>138</v>
      </c>
      <c r="F7" s="6" t="s">
        <v>157</v>
      </c>
      <c r="G7" s="6" t="s">
        <v>177</v>
      </c>
      <c r="H7" s="6" t="s">
        <v>191</v>
      </c>
      <c r="I7" s="6"/>
      <c r="J7" s="6" t="s">
        <v>107</v>
      </c>
      <c r="K7" s="6"/>
      <c r="L7" s="6" t="s">
        <v>110</v>
      </c>
    </row>
    <row r="8" spans="1:12" ht="29">
      <c r="A8" s="5" t="s">
        <v>24</v>
      </c>
      <c r="B8" s="5" t="s">
        <v>66</v>
      </c>
      <c r="C8" s="5" t="s">
        <v>102</v>
      </c>
      <c r="D8" s="5" t="s">
        <v>105</v>
      </c>
      <c r="E8" s="5" t="s">
        <v>138</v>
      </c>
      <c r="F8" s="5" t="s">
        <v>158</v>
      </c>
      <c r="G8" s="5" t="s">
        <v>178</v>
      </c>
      <c r="H8" s="5" t="s">
        <v>192</v>
      </c>
      <c r="I8" s="5"/>
      <c r="J8" s="5" t="s">
        <v>107</v>
      </c>
      <c r="K8" s="5"/>
      <c r="L8" s="5" t="s">
        <v>110</v>
      </c>
    </row>
    <row r="9" spans="1:12" ht="29">
      <c r="A9" s="6" t="s">
        <v>25</v>
      </c>
      <c r="B9" s="6" t="s">
        <v>67</v>
      </c>
      <c r="C9" s="6" t="s">
        <v>102</v>
      </c>
      <c r="D9" s="6" t="s">
        <v>106</v>
      </c>
      <c r="E9" s="6" t="s">
        <v>139</v>
      </c>
      <c r="F9" s="6" t="s">
        <v>159</v>
      </c>
      <c r="G9" s="6" t="s">
        <v>179</v>
      </c>
      <c r="H9" s="6" t="s">
        <v>193</v>
      </c>
      <c r="I9" s="6"/>
      <c r="J9" s="6" t="s">
        <v>107</v>
      </c>
      <c r="K9" s="6"/>
      <c r="L9" s="6" t="s">
        <v>111</v>
      </c>
    </row>
    <row r="10" spans="1:12" ht="29">
      <c r="A10" s="5" t="s">
        <v>26</v>
      </c>
      <c r="B10" s="5" t="s">
        <v>68</v>
      </c>
      <c r="C10" s="5" t="s">
        <v>102</v>
      </c>
      <c r="D10" s="5" t="s">
        <v>106</v>
      </c>
      <c r="E10" s="5" t="s">
        <v>140</v>
      </c>
      <c r="F10" s="5" t="s">
        <v>160</v>
      </c>
      <c r="G10" s="5" t="s">
        <v>180</v>
      </c>
      <c r="H10" s="5" t="s">
        <v>194</v>
      </c>
      <c r="I10" s="5"/>
      <c r="J10" s="5" t="s">
        <v>107</v>
      </c>
      <c r="K10" s="5"/>
      <c r="L10" s="5" t="s">
        <v>112</v>
      </c>
    </row>
    <row r="11" spans="1:12" ht="29">
      <c r="A11" s="6" t="s">
        <v>27</v>
      </c>
      <c r="B11" s="6" t="s">
        <v>69</v>
      </c>
      <c r="C11" s="6" t="s">
        <v>102</v>
      </c>
      <c r="D11" s="6" t="s">
        <v>104</v>
      </c>
      <c r="E11" s="6" t="s">
        <v>138</v>
      </c>
      <c r="F11" s="6" t="s">
        <v>161</v>
      </c>
      <c r="G11" s="6" t="s">
        <v>181</v>
      </c>
      <c r="H11" s="6" t="s">
        <v>195</v>
      </c>
      <c r="I11" s="6"/>
      <c r="J11" s="6" t="s">
        <v>107</v>
      </c>
      <c r="K11" s="6"/>
      <c r="L11" s="6" t="s">
        <v>110</v>
      </c>
    </row>
    <row r="12" spans="1:12" ht="29">
      <c r="A12" s="5" t="s">
        <v>28</v>
      </c>
      <c r="B12" s="5" t="s">
        <v>70</v>
      </c>
      <c r="C12" s="5" t="s">
        <v>102</v>
      </c>
      <c r="D12" s="5" t="s">
        <v>104</v>
      </c>
      <c r="E12" s="5" t="s">
        <v>141</v>
      </c>
      <c r="F12" s="5" t="s">
        <v>162</v>
      </c>
      <c r="G12" s="5" t="s">
        <v>182</v>
      </c>
      <c r="H12" s="5" t="s">
        <v>196</v>
      </c>
      <c r="I12" s="5"/>
      <c r="J12" s="5" t="s">
        <v>107</v>
      </c>
      <c r="K12" s="5"/>
      <c r="L12" s="5" t="s">
        <v>113</v>
      </c>
    </row>
    <row r="13" spans="1:12" ht="29">
      <c r="A13" s="6" t="s">
        <v>29</v>
      </c>
      <c r="B13" s="6" t="s">
        <v>71</v>
      </c>
      <c r="C13" s="6" t="s">
        <v>102</v>
      </c>
      <c r="D13" s="6" t="s">
        <v>105</v>
      </c>
      <c r="E13" s="6" t="s">
        <v>142</v>
      </c>
      <c r="F13" s="6" t="s">
        <v>163</v>
      </c>
      <c r="G13" s="6" t="s">
        <v>183</v>
      </c>
      <c r="H13" s="6" t="s">
        <v>196</v>
      </c>
      <c r="I13" s="6"/>
      <c r="J13" s="6" t="s">
        <v>107</v>
      </c>
      <c r="K13" s="6"/>
      <c r="L13" s="6" t="s">
        <v>113</v>
      </c>
    </row>
    <row r="14" spans="1:12" ht="29">
      <c r="A14" s="5" t="s">
        <v>30</v>
      </c>
      <c r="B14" s="5" t="s">
        <v>72</v>
      </c>
      <c r="C14" s="5" t="s">
        <v>102</v>
      </c>
      <c r="D14" s="5" t="s">
        <v>104</v>
      </c>
      <c r="E14" s="5" t="s">
        <v>143</v>
      </c>
      <c r="F14" s="5" t="s">
        <v>163</v>
      </c>
      <c r="G14" s="5" t="s">
        <v>183</v>
      </c>
      <c r="H14" s="5" t="s">
        <v>197</v>
      </c>
      <c r="I14" s="5"/>
      <c r="J14" s="5" t="s">
        <v>107</v>
      </c>
      <c r="K14" s="5"/>
      <c r="L14" s="5" t="s">
        <v>113</v>
      </c>
    </row>
    <row r="15" spans="1:12" ht="29">
      <c r="A15" s="6" t="s">
        <v>31</v>
      </c>
      <c r="B15" s="6" t="s">
        <v>73</v>
      </c>
      <c r="C15" s="6" t="s">
        <v>102</v>
      </c>
      <c r="D15" s="6" t="s">
        <v>104</v>
      </c>
      <c r="E15" s="6" t="s">
        <v>144</v>
      </c>
      <c r="F15" s="6" t="s">
        <v>163</v>
      </c>
      <c r="G15" s="6" t="s">
        <v>183</v>
      </c>
      <c r="H15" s="6" t="s">
        <v>196</v>
      </c>
      <c r="I15" s="6"/>
      <c r="J15" s="6" t="s">
        <v>107</v>
      </c>
      <c r="K15" s="6"/>
      <c r="L15" s="6" t="s">
        <v>113</v>
      </c>
    </row>
    <row r="16" spans="1:12" ht="29">
      <c r="A16" s="5" t="s">
        <v>32</v>
      </c>
      <c r="B16" s="5" t="s">
        <v>74</v>
      </c>
      <c r="C16" s="5" t="s">
        <v>102</v>
      </c>
      <c r="D16" s="5" t="s">
        <v>105</v>
      </c>
      <c r="E16" s="5" t="s">
        <v>145</v>
      </c>
      <c r="F16" s="5" t="s">
        <v>163</v>
      </c>
      <c r="G16" s="5" t="s">
        <v>183</v>
      </c>
      <c r="H16" s="5" t="s">
        <v>198</v>
      </c>
      <c r="I16" s="5"/>
      <c r="J16" s="5" t="s">
        <v>107</v>
      </c>
      <c r="K16" s="5"/>
      <c r="L16" s="5" t="s">
        <v>114</v>
      </c>
    </row>
    <row r="17" spans="1:12" ht="29">
      <c r="A17" s="6" t="s">
        <v>33</v>
      </c>
      <c r="B17" s="6" t="s">
        <v>75</v>
      </c>
      <c r="C17" s="6" t="s">
        <v>102</v>
      </c>
      <c r="D17" s="6" t="s">
        <v>106</v>
      </c>
      <c r="E17" s="6" t="s">
        <v>146</v>
      </c>
      <c r="F17" s="6" t="s">
        <v>163</v>
      </c>
      <c r="G17" s="6" t="s">
        <v>183</v>
      </c>
      <c r="H17" s="6" t="s">
        <v>199</v>
      </c>
      <c r="I17" s="6"/>
      <c r="J17" s="6" t="s">
        <v>107</v>
      </c>
      <c r="K17" s="6"/>
      <c r="L17" s="6" t="s">
        <v>115</v>
      </c>
    </row>
    <row r="18" spans="1:12" ht="43.5">
      <c r="A18" s="5" t="s">
        <v>34</v>
      </c>
      <c r="B18" s="5" t="s">
        <v>76</v>
      </c>
      <c r="C18" s="5" t="s">
        <v>102</v>
      </c>
      <c r="D18" s="5" t="s">
        <v>105</v>
      </c>
      <c r="E18" s="5" t="s">
        <v>147</v>
      </c>
      <c r="F18" s="5" t="s">
        <v>164</v>
      </c>
      <c r="G18" s="5" t="s">
        <v>184</v>
      </c>
      <c r="H18" s="5" t="s">
        <v>200</v>
      </c>
      <c r="I18" s="5"/>
      <c r="J18" s="5" t="s">
        <v>107</v>
      </c>
      <c r="K18" s="5"/>
      <c r="L18" s="5" t="s">
        <v>116</v>
      </c>
    </row>
    <row r="19" spans="1:12" ht="29">
      <c r="A19" s="6" t="s">
        <v>35</v>
      </c>
      <c r="B19" s="6" t="s">
        <v>77</v>
      </c>
      <c r="C19" s="6" t="s">
        <v>102</v>
      </c>
      <c r="D19" s="6" t="s">
        <v>105</v>
      </c>
      <c r="E19" s="6" t="s">
        <v>148</v>
      </c>
      <c r="F19" s="6" t="s">
        <v>165</v>
      </c>
      <c r="G19" s="6" t="s">
        <v>172</v>
      </c>
      <c r="H19" s="6" t="s">
        <v>201</v>
      </c>
      <c r="I19" s="6"/>
      <c r="J19" s="6" t="s">
        <v>107</v>
      </c>
      <c r="K19" s="6"/>
      <c r="L19" s="6" t="s">
        <v>114</v>
      </c>
    </row>
    <row r="20" spans="1:12" ht="29">
      <c r="A20" s="5" t="s">
        <v>36</v>
      </c>
      <c r="B20" s="5" t="s">
        <v>78</v>
      </c>
      <c r="C20" s="5" t="s">
        <v>102</v>
      </c>
      <c r="D20" s="5" t="s">
        <v>106</v>
      </c>
      <c r="E20" s="5" t="s">
        <v>149</v>
      </c>
      <c r="F20" s="5" t="s">
        <v>166</v>
      </c>
      <c r="G20" s="5" t="s">
        <v>138</v>
      </c>
      <c r="H20" s="5" t="s">
        <v>202</v>
      </c>
      <c r="I20" s="5"/>
      <c r="J20" s="5" t="s">
        <v>107</v>
      </c>
      <c r="K20" s="5"/>
      <c r="L20" s="5" t="s">
        <v>117</v>
      </c>
    </row>
    <row r="21" spans="1:12" ht="29">
      <c r="A21" s="6" t="s">
        <v>37</v>
      </c>
      <c r="B21" s="6" t="s">
        <v>79</v>
      </c>
      <c r="C21" s="6" t="s">
        <v>102</v>
      </c>
      <c r="D21" s="6" t="s">
        <v>106</v>
      </c>
      <c r="E21" s="6" t="s">
        <v>150</v>
      </c>
      <c r="F21" s="6" t="s">
        <v>167</v>
      </c>
      <c r="G21" s="6" t="s">
        <v>138</v>
      </c>
      <c r="H21" s="6" t="s">
        <v>203</v>
      </c>
      <c r="I21" s="6"/>
      <c r="J21" s="6" t="s">
        <v>107</v>
      </c>
      <c r="K21" s="6"/>
      <c r="L21" s="6" t="s">
        <v>118</v>
      </c>
    </row>
    <row r="22" spans="1:12" ht="43.5">
      <c r="A22" s="5" t="s">
        <v>38</v>
      </c>
      <c r="B22" s="5" t="s">
        <v>80</v>
      </c>
      <c r="C22" s="5" t="s">
        <v>102</v>
      </c>
      <c r="D22" s="5" t="s">
        <v>106</v>
      </c>
      <c r="E22" s="5" t="s">
        <v>138</v>
      </c>
      <c r="F22" s="5" t="s">
        <v>168</v>
      </c>
      <c r="G22" s="5" t="s">
        <v>138</v>
      </c>
      <c r="H22" s="5" t="s">
        <v>204</v>
      </c>
      <c r="I22" s="5"/>
      <c r="J22" s="5" t="s">
        <v>107</v>
      </c>
      <c r="K22" s="5"/>
      <c r="L22" s="5" t="s">
        <v>119</v>
      </c>
    </row>
    <row r="23" spans="1:12" ht="43.5">
      <c r="A23" s="6" t="s">
        <v>39</v>
      </c>
      <c r="B23" s="6" t="s">
        <v>81</v>
      </c>
      <c r="C23" s="6" t="s">
        <v>102</v>
      </c>
      <c r="D23" s="6" t="s">
        <v>106</v>
      </c>
      <c r="E23" s="6" t="s">
        <v>151</v>
      </c>
      <c r="F23" s="6" t="s">
        <v>169</v>
      </c>
      <c r="G23" s="6" t="s">
        <v>138</v>
      </c>
      <c r="H23" s="6" t="s">
        <v>205</v>
      </c>
      <c r="I23" s="6"/>
      <c r="J23" s="6" t="s">
        <v>107</v>
      </c>
      <c r="K23" s="6"/>
      <c r="L23" s="6" t="s">
        <v>120</v>
      </c>
    </row>
    <row r="24" spans="1:12" ht="29">
      <c r="A24" s="5" t="s">
        <v>40</v>
      </c>
      <c r="B24" s="5" t="s">
        <v>82</v>
      </c>
      <c r="C24" s="5" t="s">
        <v>102</v>
      </c>
      <c r="D24" s="5" t="s">
        <v>106</v>
      </c>
      <c r="E24" s="5" t="s">
        <v>138</v>
      </c>
      <c r="F24" s="5" t="s">
        <v>170</v>
      </c>
      <c r="G24" s="5" t="s">
        <v>185</v>
      </c>
      <c r="H24" s="5" t="s">
        <v>206</v>
      </c>
      <c r="I24" s="5"/>
      <c r="J24" s="5" t="s">
        <v>107</v>
      </c>
      <c r="K24" s="5"/>
      <c r="L24" s="5" t="s">
        <v>112</v>
      </c>
    </row>
    <row r="25" spans="1:12" ht="29">
      <c r="A25" s="6" t="s">
        <v>41</v>
      </c>
      <c r="B25" s="6" t="s">
        <v>83</v>
      </c>
      <c r="C25" s="6" t="s">
        <v>102</v>
      </c>
      <c r="D25" s="6" t="s">
        <v>104</v>
      </c>
      <c r="E25" s="6" t="s">
        <v>138</v>
      </c>
      <c r="F25" s="6" t="s">
        <v>171</v>
      </c>
      <c r="G25" s="6" t="s">
        <v>138</v>
      </c>
      <c r="H25" s="6" t="s">
        <v>207</v>
      </c>
      <c r="I25" s="6"/>
      <c r="J25" s="6" t="s">
        <v>107</v>
      </c>
      <c r="K25" s="6"/>
      <c r="L25" s="6" t="s">
        <v>121</v>
      </c>
    </row>
  </sheetData>
  <autoFilter ref="A1:L25" xr:uid="{00000000-0009-0000-0000-000002000000}"/>
  <dataValidations count="2">
    <dataValidation type="list" allowBlank="1" showInputMessage="1" showErrorMessage="1" sqref="D2:D2001" xr:uid="{00000000-0002-0000-0200-000000000000}">
      <formula1>PRIORITY_LIST</formula1>
    </dataValidation>
    <dataValidation type="list" allowBlank="1" showInputMessage="1" showErrorMessage="1" sqref="J2:J2001" xr:uid="{00000000-0002-0000-0200-000001000000}">
      <formula1>STATUS_LIST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B3" sqref="B3"/>
    </sheetView>
  </sheetViews>
  <sheetFormatPr defaultRowHeight="14.5"/>
  <cols>
    <col min="1" max="1" width="8.7265625" customWidth="1"/>
  </cols>
  <sheetData>
    <row r="1" spans="1:2">
      <c r="A1" t="s">
        <v>208</v>
      </c>
      <c r="B1" t="s">
        <v>10</v>
      </c>
    </row>
    <row r="2" spans="1:2">
      <c r="A2" t="s">
        <v>104</v>
      </c>
      <c r="B2" t="s">
        <v>107</v>
      </c>
    </row>
    <row r="3" spans="1:2">
      <c r="A3" t="s">
        <v>105</v>
      </c>
      <c r="B3" t="s">
        <v>209</v>
      </c>
    </row>
    <row r="4" spans="1:2">
      <c r="A4" t="s">
        <v>106</v>
      </c>
      <c r="B4" t="s">
        <v>210</v>
      </c>
    </row>
    <row r="5" spans="1:2">
      <c r="B5" t="s">
        <v>211</v>
      </c>
    </row>
    <row r="6" spans="1:2">
      <c r="B6" t="s">
        <v>212</v>
      </c>
    </row>
    <row r="7" spans="1:2">
      <c r="B7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workbookViewId="0">
      <pane ySplit="1" topLeftCell="A6" activePane="bottomLeft" state="frozen"/>
      <selection pane="bottomLeft" activeCell="F10" sqref="F10"/>
    </sheetView>
  </sheetViews>
  <sheetFormatPr defaultRowHeight="14.5"/>
  <cols>
    <col min="1" max="1" width="14.7265625" customWidth="1"/>
    <col min="2" max="2" width="36.7265625" customWidth="1"/>
    <col min="3" max="3" width="30.7265625" customWidth="1"/>
    <col min="4" max="4" width="12.7265625" customWidth="1"/>
    <col min="5" max="5" width="34.7265625" customWidth="1"/>
    <col min="6" max="6" width="48.7265625" customWidth="1"/>
    <col min="7" max="7" width="24.7265625" customWidth="1"/>
    <col min="8" max="8" width="48.7265625" customWidth="1"/>
    <col min="9" max="9" width="24.7265625" customWidth="1"/>
    <col min="10" max="10" width="16.7265625" customWidth="1"/>
    <col min="11" max="11" width="12.7265625" customWidth="1"/>
    <col min="12" max="12" width="18.7265625" customWidth="1"/>
  </cols>
  <sheetData>
    <row r="1" spans="1:12">
      <c r="A1" s="4" t="s">
        <v>12</v>
      </c>
      <c r="B1" s="4" t="s">
        <v>13</v>
      </c>
      <c r="C1" s="4" t="s">
        <v>14</v>
      </c>
      <c r="D1" s="4" t="s">
        <v>15</v>
      </c>
      <c r="E1" s="4" t="s">
        <v>130</v>
      </c>
      <c r="F1" s="4" t="s">
        <v>131</v>
      </c>
      <c r="G1" s="4" t="s">
        <v>132</v>
      </c>
      <c r="H1" s="4" t="s">
        <v>133</v>
      </c>
      <c r="I1" s="4" t="s">
        <v>134</v>
      </c>
      <c r="J1" s="4" t="s">
        <v>16</v>
      </c>
      <c r="K1" s="4" t="s">
        <v>135</v>
      </c>
      <c r="L1" s="4" t="s">
        <v>17</v>
      </c>
    </row>
    <row r="2" spans="1:12" ht="43.5">
      <c r="A2" s="5" t="s">
        <v>42</v>
      </c>
      <c r="B2" s="5" t="s">
        <v>84</v>
      </c>
      <c r="C2" s="5" t="s">
        <v>103</v>
      </c>
      <c r="D2" s="5" t="s">
        <v>104</v>
      </c>
      <c r="E2" s="5" t="s">
        <v>214</v>
      </c>
      <c r="F2" s="5" t="s">
        <v>227</v>
      </c>
      <c r="G2" s="5" t="s">
        <v>245</v>
      </c>
      <c r="H2" s="5" t="s">
        <v>246</v>
      </c>
      <c r="I2" s="5"/>
      <c r="J2" s="5" t="s">
        <v>107</v>
      </c>
      <c r="K2" s="5"/>
      <c r="L2" s="5" t="s">
        <v>122</v>
      </c>
    </row>
    <row r="3" spans="1:12" ht="29">
      <c r="A3" s="6" t="s">
        <v>43</v>
      </c>
      <c r="B3" s="6" t="s">
        <v>85</v>
      </c>
      <c r="C3" s="6" t="s">
        <v>103</v>
      </c>
      <c r="D3" s="6" t="s">
        <v>104</v>
      </c>
      <c r="E3" s="6" t="s">
        <v>215</v>
      </c>
      <c r="F3" s="6" t="s">
        <v>228</v>
      </c>
      <c r="G3" s="6" t="s">
        <v>138</v>
      </c>
      <c r="H3" s="6" t="s">
        <v>247</v>
      </c>
      <c r="I3" s="6"/>
      <c r="J3" s="6" t="s">
        <v>107</v>
      </c>
      <c r="K3" s="6"/>
      <c r="L3" s="6" t="s">
        <v>110</v>
      </c>
    </row>
    <row r="4" spans="1:12" ht="29">
      <c r="A4" s="5" t="s">
        <v>44</v>
      </c>
      <c r="B4" s="5" t="s">
        <v>86</v>
      </c>
      <c r="C4" s="5" t="s">
        <v>103</v>
      </c>
      <c r="D4" s="5" t="s">
        <v>104</v>
      </c>
      <c r="E4" s="5" t="s">
        <v>216</v>
      </c>
      <c r="F4" s="5" t="s">
        <v>229</v>
      </c>
      <c r="G4" s="5" t="s">
        <v>138</v>
      </c>
      <c r="H4" s="5" t="s">
        <v>248</v>
      </c>
      <c r="I4" s="5"/>
      <c r="J4" s="5" t="s">
        <v>107</v>
      </c>
      <c r="K4" s="5"/>
      <c r="L4" s="5" t="s">
        <v>123</v>
      </c>
    </row>
    <row r="5" spans="1:12" ht="29">
      <c r="A5" s="6" t="s">
        <v>45</v>
      </c>
      <c r="B5" s="6" t="s">
        <v>87</v>
      </c>
      <c r="C5" s="6" t="s">
        <v>103</v>
      </c>
      <c r="D5" s="6" t="s">
        <v>104</v>
      </c>
      <c r="E5" s="6" t="s">
        <v>217</v>
      </c>
      <c r="F5" s="6" t="s">
        <v>230</v>
      </c>
      <c r="G5" s="6" t="s">
        <v>138</v>
      </c>
      <c r="H5" s="6" t="s">
        <v>249</v>
      </c>
      <c r="I5" s="6"/>
      <c r="J5" s="6" t="s">
        <v>107</v>
      </c>
      <c r="K5" s="6"/>
      <c r="L5" s="6" t="s">
        <v>124</v>
      </c>
    </row>
    <row r="6" spans="1:12" ht="29">
      <c r="A6" s="5" t="s">
        <v>46</v>
      </c>
      <c r="B6" s="5" t="s">
        <v>88</v>
      </c>
      <c r="C6" s="5" t="s">
        <v>103</v>
      </c>
      <c r="D6" s="5" t="s">
        <v>104</v>
      </c>
      <c r="E6" s="5" t="s">
        <v>218</v>
      </c>
      <c r="F6" s="5" t="s">
        <v>231</v>
      </c>
      <c r="G6" s="5" t="s">
        <v>138</v>
      </c>
      <c r="H6" s="5" t="s">
        <v>250</v>
      </c>
      <c r="I6" s="5"/>
      <c r="J6" s="5" t="s">
        <v>107</v>
      </c>
      <c r="K6" s="5"/>
      <c r="L6" s="5" t="s">
        <v>113</v>
      </c>
    </row>
    <row r="7" spans="1:12" ht="29">
      <c r="A7" s="6" t="s">
        <v>47</v>
      </c>
      <c r="B7" s="6" t="s">
        <v>89</v>
      </c>
      <c r="C7" s="6" t="s">
        <v>103</v>
      </c>
      <c r="D7" s="6" t="s">
        <v>105</v>
      </c>
      <c r="E7" s="6" t="s">
        <v>219</v>
      </c>
      <c r="F7" s="6" t="s">
        <v>232</v>
      </c>
      <c r="G7" s="6" t="s">
        <v>138</v>
      </c>
      <c r="H7" s="6" t="s">
        <v>251</v>
      </c>
      <c r="I7" s="6"/>
      <c r="J7" s="6" t="s">
        <v>107</v>
      </c>
      <c r="K7" s="6"/>
      <c r="L7" s="6" t="s">
        <v>125</v>
      </c>
    </row>
    <row r="8" spans="1:12" ht="29">
      <c r="A8" s="5" t="s">
        <v>48</v>
      </c>
      <c r="B8" s="5" t="s">
        <v>90</v>
      </c>
      <c r="C8" s="5" t="s">
        <v>103</v>
      </c>
      <c r="D8" s="5" t="s">
        <v>106</v>
      </c>
      <c r="E8" s="5" t="s">
        <v>220</v>
      </c>
      <c r="F8" s="5" t="s">
        <v>233</v>
      </c>
      <c r="G8" s="5" t="s">
        <v>138</v>
      </c>
      <c r="H8" s="5" t="s">
        <v>252</v>
      </c>
      <c r="I8" s="5"/>
      <c r="J8" s="5" t="s">
        <v>107</v>
      </c>
      <c r="K8" s="5"/>
      <c r="L8" s="5" t="s">
        <v>112</v>
      </c>
    </row>
    <row r="9" spans="1:12" ht="29">
      <c r="A9" s="6" t="s">
        <v>49</v>
      </c>
      <c r="B9" s="6" t="s">
        <v>91</v>
      </c>
      <c r="C9" s="6" t="s">
        <v>103</v>
      </c>
      <c r="D9" s="6" t="s">
        <v>105</v>
      </c>
      <c r="E9" s="6" t="s">
        <v>138</v>
      </c>
      <c r="F9" s="6" t="s">
        <v>234</v>
      </c>
      <c r="G9" s="6" t="s">
        <v>138</v>
      </c>
      <c r="H9" s="6" t="s">
        <v>253</v>
      </c>
      <c r="I9" s="6"/>
      <c r="J9" s="6" t="s">
        <v>107</v>
      </c>
      <c r="K9" s="6"/>
      <c r="L9" s="6" t="s">
        <v>126</v>
      </c>
    </row>
    <row r="10" spans="1:12" ht="29">
      <c r="A10" s="5" t="s">
        <v>50</v>
      </c>
      <c r="B10" s="5" t="s">
        <v>92</v>
      </c>
      <c r="C10" s="5" t="s">
        <v>103</v>
      </c>
      <c r="D10" s="5" t="s">
        <v>104</v>
      </c>
      <c r="E10" s="5" t="s">
        <v>138</v>
      </c>
      <c r="F10" s="5" t="s">
        <v>235</v>
      </c>
      <c r="G10" s="5" t="s">
        <v>138</v>
      </c>
      <c r="H10" s="5" t="s">
        <v>254</v>
      </c>
      <c r="I10" s="5"/>
      <c r="J10" s="5" t="s">
        <v>107</v>
      </c>
      <c r="K10" s="5"/>
      <c r="L10" s="5" t="s">
        <v>127</v>
      </c>
    </row>
    <row r="11" spans="1:12" ht="29">
      <c r="A11" s="6" t="s">
        <v>51</v>
      </c>
      <c r="B11" s="6" t="s">
        <v>93</v>
      </c>
      <c r="C11" s="6" t="s">
        <v>103</v>
      </c>
      <c r="D11" s="6" t="s">
        <v>106</v>
      </c>
      <c r="E11" s="6" t="s">
        <v>221</v>
      </c>
      <c r="F11" s="6" t="s">
        <v>236</v>
      </c>
      <c r="G11" s="6" t="s">
        <v>138</v>
      </c>
      <c r="H11" s="6" t="s">
        <v>255</v>
      </c>
      <c r="I11" s="6"/>
      <c r="J11" s="6" t="s">
        <v>107</v>
      </c>
      <c r="K11" s="6"/>
      <c r="L11" s="6" t="s">
        <v>128</v>
      </c>
    </row>
    <row r="12" spans="1:12" ht="29">
      <c r="A12" s="5" t="s">
        <v>52</v>
      </c>
      <c r="B12" s="5" t="s">
        <v>94</v>
      </c>
      <c r="C12" s="5" t="s">
        <v>103</v>
      </c>
      <c r="D12" s="5" t="s">
        <v>105</v>
      </c>
      <c r="E12" s="5" t="s">
        <v>222</v>
      </c>
      <c r="F12" s="5" t="s">
        <v>237</v>
      </c>
      <c r="G12" s="5" t="s">
        <v>138</v>
      </c>
      <c r="H12" s="5" t="s">
        <v>256</v>
      </c>
      <c r="I12" s="5"/>
      <c r="J12" s="5" t="s">
        <v>107</v>
      </c>
      <c r="K12" s="5"/>
      <c r="L12" s="5" t="s">
        <v>117</v>
      </c>
    </row>
    <row r="13" spans="1:12" ht="29">
      <c r="A13" s="6" t="s">
        <v>53</v>
      </c>
      <c r="B13" s="6" t="s">
        <v>95</v>
      </c>
      <c r="C13" s="6" t="s">
        <v>103</v>
      </c>
      <c r="D13" s="6" t="s">
        <v>106</v>
      </c>
      <c r="E13" s="6" t="s">
        <v>138</v>
      </c>
      <c r="F13" s="6" t="s">
        <v>238</v>
      </c>
      <c r="G13" s="6" t="s">
        <v>138</v>
      </c>
      <c r="H13" s="6" t="s">
        <v>257</v>
      </c>
      <c r="I13" s="6"/>
      <c r="J13" s="6" t="s">
        <v>107</v>
      </c>
      <c r="K13" s="6"/>
      <c r="L13" s="6" t="s">
        <v>111</v>
      </c>
    </row>
    <row r="14" spans="1:12" ht="29">
      <c r="A14" s="5" t="s">
        <v>54</v>
      </c>
      <c r="B14" s="5" t="s">
        <v>96</v>
      </c>
      <c r="C14" s="5" t="s">
        <v>103</v>
      </c>
      <c r="D14" s="5" t="s">
        <v>105</v>
      </c>
      <c r="E14" s="5" t="s">
        <v>138</v>
      </c>
      <c r="F14" s="5" t="s">
        <v>239</v>
      </c>
      <c r="G14" s="5" t="s">
        <v>138</v>
      </c>
      <c r="H14" s="5" t="s">
        <v>258</v>
      </c>
      <c r="I14" s="5"/>
      <c r="J14" s="5" t="s">
        <v>107</v>
      </c>
      <c r="K14" s="5"/>
      <c r="L14" s="5" t="s">
        <v>110</v>
      </c>
    </row>
    <row r="15" spans="1:12" ht="29">
      <c r="A15" s="6" t="s">
        <v>55</v>
      </c>
      <c r="B15" s="6" t="s">
        <v>97</v>
      </c>
      <c r="C15" s="6" t="s">
        <v>103</v>
      </c>
      <c r="D15" s="6" t="s">
        <v>106</v>
      </c>
      <c r="E15" s="6" t="s">
        <v>223</v>
      </c>
      <c r="F15" s="6" t="s">
        <v>240</v>
      </c>
      <c r="G15" s="6" t="s">
        <v>138</v>
      </c>
      <c r="H15" s="6" t="s">
        <v>259</v>
      </c>
      <c r="I15" s="6"/>
      <c r="J15" s="6" t="s">
        <v>107</v>
      </c>
      <c r="K15" s="6"/>
      <c r="L15" s="6" t="s">
        <v>113</v>
      </c>
    </row>
    <row r="16" spans="1:12" ht="29">
      <c r="A16" s="5" t="s">
        <v>56</v>
      </c>
      <c r="B16" s="5" t="s">
        <v>98</v>
      </c>
      <c r="C16" s="5" t="s">
        <v>103</v>
      </c>
      <c r="D16" s="5" t="s">
        <v>106</v>
      </c>
      <c r="E16" s="5" t="s">
        <v>138</v>
      </c>
      <c r="F16" s="5" t="s">
        <v>241</v>
      </c>
      <c r="G16" s="5" t="s">
        <v>138</v>
      </c>
      <c r="H16" s="5" t="s">
        <v>260</v>
      </c>
      <c r="I16" s="5"/>
      <c r="J16" s="5" t="s">
        <v>107</v>
      </c>
      <c r="K16" s="5"/>
      <c r="L16" s="5" t="s">
        <v>129</v>
      </c>
    </row>
    <row r="17" spans="1:12" ht="29">
      <c r="A17" s="6" t="s">
        <v>57</v>
      </c>
      <c r="B17" s="6" t="s">
        <v>99</v>
      </c>
      <c r="C17" s="6" t="s">
        <v>103</v>
      </c>
      <c r="D17" s="6" t="s">
        <v>104</v>
      </c>
      <c r="E17" s="6" t="s">
        <v>224</v>
      </c>
      <c r="F17" s="6" t="s">
        <v>242</v>
      </c>
      <c r="G17" s="6" t="s">
        <v>138</v>
      </c>
      <c r="H17" s="6" t="s">
        <v>261</v>
      </c>
      <c r="I17" s="6"/>
      <c r="J17" s="6" t="s">
        <v>107</v>
      </c>
      <c r="K17" s="6"/>
      <c r="L17" s="6" t="s">
        <v>110</v>
      </c>
    </row>
    <row r="18" spans="1:12" ht="43.5">
      <c r="A18" s="5" t="s">
        <v>58</v>
      </c>
      <c r="B18" s="5" t="s">
        <v>100</v>
      </c>
      <c r="C18" s="5" t="s">
        <v>103</v>
      </c>
      <c r="D18" s="5" t="s">
        <v>106</v>
      </c>
      <c r="E18" s="5" t="s">
        <v>225</v>
      </c>
      <c r="F18" s="5" t="s">
        <v>243</v>
      </c>
      <c r="G18" s="5" t="s">
        <v>138</v>
      </c>
      <c r="H18" s="5" t="s">
        <v>262</v>
      </c>
      <c r="I18" s="5"/>
      <c r="J18" s="5" t="s">
        <v>107</v>
      </c>
      <c r="K18" s="5"/>
      <c r="L18" s="5" t="s">
        <v>118</v>
      </c>
    </row>
    <row r="19" spans="1:12" ht="29">
      <c r="A19" s="6" t="s">
        <v>59</v>
      </c>
      <c r="B19" s="6" t="s">
        <v>101</v>
      </c>
      <c r="C19" s="6" t="s">
        <v>103</v>
      </c>
      <c r="D19" s="6" t="s">
        <v>106</v>
      </c>
      <c r="E19" s="6" t="s">
        <v>226</v>
      </c>
      <c r="F19" s="6" t="s">
        <v>244</v>
      </c>
      <c r="G19" s="6" t="s">
        <v>138</v>
      </c>
      <c r="H19" s="6" t="s">
        <v>263</v>
      </c>
      <c r="I19" s="6"/>
      <c r="J19" s="6" t="s">
        <v>107</v>
      </c>
      <c r="K19" s="6"/>
      <c r="L19" s="6" t="s">
        <v>120</v>
      </c>
    </row>
  </sheetData>
  <autoFilter ref="A1:L19" xr:uid="{00000000-0009-0000-0000-000004000000}"/>
  <dataValidations count="2">
    <dataValidation type="list" allowBlank="1" showInputMessage="1" showErrorMessage="1" sqref="D2:D2001" xr:uid="{00000000-0002-0000-0400-000000000000}">
      <formula1>PRIORITY_LIST</formula1>
    </dataValidation>
    <dataValidation type="list" allowBlank="1" showInputMessage="1" showErrorMessage="1" sqref="J2:J2001" xr:uid="{00000000-0002-0000-0400-000001000000}">
      <formula1>STATUS_LIST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selection activeCell="B4" sqref="B4"/>
    </sheetView>
  </sheetViews>
  <sheetFormatPr defaultRowHeight="14.5"/>
  <cols>
    <col min="1" max="1" width="28.7265625" customWidth="1"/>
    <col min="2" max="2" width="20.7265625" customWidth="1"/>
  </cols>
  <sheetData>
    <row r="1" spans="1:2" ht="15.5">
      <c r="A1" s="7" t="s">
        <v>264</v>
      </c>
    </row>
    <row r="3" spans="1:2">
      <c r="A3" s="2" t="s">
        <v>265</v>
      </c>
      <c r="B3" s="2" t="s">
        <v>266</v>
      </c>
    </row>
    <row r="4" spans="1:2">
      <c r="A4" s="3" t="s">
        <v>267</v>
      </c>
      <c r="B4" s="3">
        <f>ROWS('Test Case List'!A2:A1048576)</f>
        <v>1048575</v>
      </c>
    </row>
    <row r="5" spans="1:2">
      <c r="A5" s="3" t="s">
        <v>209</v>
      </c>
      <c r="B5" s="3">
        <f>COUNTIF('Test Case List'!E:E,"Passed")</f>
        <v>0</v>
      </c>
    </row>
    <row r="6" spans="1:2">
      <c r="A6" s="3" t="s">
        <v>210</v>
      </c>
      <c r="B6" s="3">
        <f>COUNTIF('Test Case List'!E:E,"Failed")</f>
        <v>0</v>
      </c>
    </row>
    <row r="7" spans="1:2">
      <c r="A7" s="3" t="s">
        <v>211</v>
      </c>
      <c r="B7" s="3">
        <f>COUNTIF('Test Case List'!E:E,"Blocked")</f>
        <v>0</v>
      </c>
    </row>
    <row r="8" spans="1:2">
      <c r="A8" s="3" t="s">
        <v>107</v>
      </c>
      <c r="B8" s="3">
        <f>COUNTIF('Test Case List'!E:E,"Not Run")</f>
        <v>42</v>
      </c>
    </row>
    <row r="9" spans="1:2">
      <c r="A9" s="3" t="s">
        <v>212</v>
      </c>
      <c r="B9" s="3">
        <f>COUNTIF('Test Case List'!E:E,"Out of Scope")</f>
        <v>0</v>
      </c>
    </row>
    <row r="10" spans="1:2">
      <c r="A10" s="3" t="s">
        <v>213</v>
      </c>
      <c r="B10" s="3">
        <f>COUNTIF('Test Case List'!E:E,"Deferred")</f>
        <v>0</v>
      </c>
    </row>
    <row r="11" spans="1:2">
      <c r="A11" s="3" t="s">
        <v>268</v>
      </c>
      <c r="B11" s="8">
        <f>IF(B2&gt;0, B3/B2, 0)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89A72-D695-49C5-9016-FB5B4588B0F6}">
  <dimension ref="A1:G15"/>
  <sheetViews>
    <sheetView workbookViewId="0">
      <selection activeCell="E9" sqref="E9"/>
    </sheetView>
  </sheetViews>
  <sheetFormatPr defaultRowHeight="14.5"/>
  <cols>
    <col min="1" max="1" width="45.26953125" customWidth="1"/>
    <col min="5" max="5" width="36.90625" customWidth="1"/>
    <col min="6" max="6" width="22.26953125" customWidth="1"/>
    <col min="7" max="7" width="30.7265625" customWidth="1"/>
  </cols>
  <sheetData>
    <row r="1" spans="1:7">
      <c r="A1" t="s">
        <v>269</v>
      </c>
      <c r="E1" s="9" t="s">
        <v>280</v>
      </c>
    </row>
    <row r="2" spans="1:7">
      <c r="A2" t="s">
        <v>270</v>
      </c>
    </row>
    <row r="3" spans="1:7">
      <c r="E3" s="9" t="s">
        <v>281</v>
      </c>
      <c r="F3" s="9" t="s">
        <v>282</v>
      </c>
      <c r="G3" s="9" t="s">
        <v>283</v>
      </c>
    </row>
    <row r="4" spans="1:7">
      <c r="A4" s="9" t="s">
        <v>271</v>
      </c>
      <c r="E4" t="s">
        <v>284</v>
      </c>
      <c r="F4" t="s">
        <v>285</v>
      </c>
      <c r="G4" t="s">
        <v>286</v>
      </c>
    </row>
    <row r="5" spans="1:7">
      <c r="E5" t="s">
        <v>287</v>
      </c>
      <c r="F5" t="s">
        <v>288</v>
      </c>
      <c r="G5" t="s">
        <v>289</v>
      </c>
    </row>
    <row r="6" spans="1:7">
      <c r="A6" s="9" t="s">
        <v>272</v>
      </c>
      <c r="E6" t="s">
        <v>290</v>
      </c>
      <c r="F6" t="s">
        <v>285</v>
      </c>
      <c r="G6" t="s">
        <v>291</v>
      </c>
    </row>
    <row r="7" spans="1:7">
      <c r="A7" t="s">
        <v>273</v>
      </c>
      <c r="E7" t="s">
        <v>292</v>
      </c>
      <c r="F7" t="s">
        <v>293</v>
      </c>
      <c r="G7" t="s">
        <v>294</v>
      </c>
    </row>
    <row r="8" spans="1:7">
      <c r="A8" t="s">
        <v>274</v>
      </c>
    </row>
    <row r="9" spans="1:7">
      <c r="A9" s="9" t="s">
        <v>275</v>
      </c>
    </row>
    <row r="10" spans="1:7">
      <c r="A10" t="s">
        <v>276</v>
      </c>
    </row>
    <row r="11" spans="1:7">
      <c r="A11" t="s">
        <v>277</v>
      </c>
    </row>
    <row r="13" spans="1:7">
      <c r="A13" t="s">
        <v>278</v>
      </c>
    </row>
    <row r="15" spans="1:7">
      <c r="A15" s="10" t="s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64CE-2DB1-4ACA-AC83-C699976791AE}">
  <dimension ref="A2:D5"/>
  <sheetViews>
    <sheetView workbookViewId="0">
      <selection activeCell="D21" sqref="D21"/>
    </sheetView>
  </sheetViews>
  <sheetFormatPr defaultRowHeight="14.5"/>
  <cols>
    <col min="1" max="1" width="21.81640625" customWidth="1"/>
    <col min="2" max="2" width="26.54296875" customWidth="1"/>
    <col min="3" max="3" width="26.36328125" customWidth="1"/>
    <col min="4" max="4" width="41.54296875" customWidth="1"/>
  </cols>
  <sheetData>
    <row r="2" spans="1:4">
      <c r="A2" s="9" t="s">
        <v>295</v>
      </c>
      <c r="B2" s="9" t="s">
        <v>296</v>
      </c>
      <c r="C2" s="9" t="s">
        <v>297</v>
      </c>
      <c r="D2" s="9" t="s">
        <v>133</v>
      </c>
    </row>
    <row r="3" spans="1:4">
      <c r="A3" t="s">
        <v>298</v>
      </c>
      <c r="B3" t="s">
        <v>299</v>
      </c>
      <c r="C3" t="s">
        <v>300</v>
      </c>
      <c r="D3" t="s">
        <v>301</v>
      </c>
    </row>
    <row r="4" spans="1:4">
      <c r="A4" t="s">
        <v>302</v>
      </c>
      <c r="B4" t="s">
        <v>303</v>
      </c>
      <c r="C4" t="s">
        <v>304</v>
      </c>
      <c r="D4" t="s">
        <v>305</v>
      </c>
    </row>
    <row r="5" spans="1:4">
      <c r="A5" t="s">
        <v>302</v>
      </c>
      <c r="B5" t="s">
        <v>306</v>
      </c>
      <c r="C5" s="11">
        <v>-0.1</v>
      </c>
      <c r="D5" t="s">
        <v>307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9B98-DB07-4198-BB97-D841A48E7CB5}">
  <dimension ref="A1:D3"/>
  <sheetViews>
    <sheetView workbookViewId="0">
      <selection activeCell="E25" sqref="E25"/>
    </sheetView>
  </sheetViews>
  <sheetFormatPr defaultRowHeight="14.5"/>
  <cols>
    <col min="1" max="1" width="20.26953125" customWidth="1"/>
    <col min="2" max="2" width="22.54296875" customWidth="1"/>
    <col min="3" max="3" width="19.54296875" customWidth="1"/>
    <col min="4" max="4" width="29.26953125" customWidth="1"/>
  </cols>
  <sheetData>
    <row r="1" spans="1:4">
      <c r="A1" s="9" t="s">
        <v>295</v>
      </c>
      <c r="B1" s="9" t="s">
        <v>296</v>
      </c>
      <c r="C1" s="9" t="s">
        <v>297</v>
      </c>
      <c r="D1" s="9" t="s">
        <v>133</v>
      </c>
    </row>
    <row r="2" spans="1:4">
      <c r="A2" t="s">
        <v>298</v>
      </c>
      <c r="B2" t="s">
        <v>308</v>
      </c>
      <c r="C2" t="s">
        <v>309</v>
      </c>
      <c r="D2" t="s">
        <v>310</v>
      </c>
    </row>
    <row r="3" spans="1:4">
      <c r="A3" t="s">
        <v>302</v>
      </c>
      <c r="B3" t="s">
        <v>311</v>
      </c>
      <c r="C3" t="s">
        <v>312</v>
      </c>
      <c r="D3" t="s">
        <v>313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5931-95D1-4B15-92B5-CE3420741446}">
  <dimension ref="A19:D21"/>
  <sheetViews>
    <sheetView topLeftCell="A19" workbookViewId="0">
      <selection activeCell="E38" sqref="E38"/>
    </sheetView>
  </sheetViews>
  <sheetFormatPr defaultRowHeight="14.5"/>
  <cols>
    <col min="1" max="1" width="18.36328125" customWidth="1"/>
    <col min="2" max="2" width="18.90625" customWidth="1"/>
    <col min="3" max="3" width="23.1796875" customWidth="1"/>
    <col min="4" max="4" width="26.54296875" customWidth="1"/>
  </cols>
  <sheetData>
    <row r="19" spans="1:4">
      <c r="A19" s="9" t="s">
        <v>295</v>
      </c>
      <c r="B19" s="9" t="s">
        <v>296</v>
      </c>
      <c r="C19" s="9" t="s">
        <v>297</v>
      </c>
      <c r="D19" s="9" t="s">
        <v>133</v>
      </c>
    </row>
    <row r="20" spans="1:4">
      <c r="A20" t="s">
        <v>298</v>
      </c>
      <c r="B20" t="s">
        <v>314</v>
      </c>
      <c r="C20" t="s">
        <v>315</v>
      </c>
      <c r="D20" t="s">
        <v>316</v>
      </c>
    </row>
    <row r="21" spans="1:4">
      <c r="A21" t="s">
        <v>302</v>
      </c>
      <c r="B21" t="s">
        <v>317</v>
      </c>
      <c r="C21" s="12">
        <v>1000000</v>
      </c>
      <c r="D21" t="s">
        <v>318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177A-10A5-47EC-9C5F-D79A98E218E3}">
  <dimension ref="A1:D9"/>
  <sheetViews>
    <sheetView workbookViewId="0">
      <selection activeCell="C3" sqref="C3"/>
    </sheetView>
  </sheetViews>
  <sheetFormatPr defaultRowHeight="14.5"/>
  <cols>
    <col min="1" max="1" width="22.90625" customWidth="1"/>
    <col min="2" max="2" width="23.1796875" customWidth="1"/>
    <col min="3" max="3" width="26.08984375" customWidth="1"/>
    <col min="4" max="4" width="20.1796875" customWidth="1"/>
  </cols>
  <sheetData>
    <row r="1" spans="1:4">
      <c r="A1" s="9" t="s">
        <v>319</v>
      </c>
      <c r="B1" s="9" t="s">
        <v>320</v>
      </c>
      <c r="C1" s="9" t="s">
        <v>321</v>
      </c>
      <c r="D1" s="9" t="s">
        <v>133</v>
      </c>
    </row>
    <row r="2" spans="1:4">
      <c r="A2" t="s">
        <v>322</v>
      </c>
      <c r="B2" t="s">
        <v>323</v>
      </c>
      <c r="C2" s="13">
        <v>0.2999</v>
      </c>
      <c r="D2" t="s">
        <v>324</v>
      </c>
    </row>
    <row r="3" spans="1:4">
      <c r="A3" t="s">
        <v>322</v>
      </c>
      <c r="B3" t="s">
        <v>325</v>
      </c>
      <c r="C3" s="13">
        <v>0.3</v>
      </c>
      <c r="D3" t="s">
        <v>298</v>
      </c>
    </row>
    <row r="4" spans="1:4">
      <c r="A4" t="s">
        <v>322</v>
      </c>
      <c r="B4" t="s">
        <v>326</v>
      </c>
      <c r="C4" s="13">
        <v>0.30009999999999998</v>
      </c>
      <c r="D4" t="s">
        <v>298</v>
      </c>
    </row>
    <row r="5" spans="1:4">
      <c r="A5" t="s">
        <v>327</v>
      </c>
      <c r="B5" t="s">
        <v>323</v>
      </c>
      <c r="C5">
        <v>0</v>
      </c>
      <c r="D5" t="s">
        <v>324</v>
      </c>
    </row>
    <row r="6" spans="1:4">
      <c r="A6" t="s">
        <v>327</v>
      </c>
      <c r="B6" t="s">
        <v>328</v>
      </c>
      <c r="C6">
        <v>0.01</v>
      </c>
      <c r="D6" t="s">
        <v>298</v>
      </c>
    </row>
    <row r="7" spans="1:4">
      <c r="A7" t="s">
        <v>290</v>
      </c>
      <c r="B7" t="s">
        <v>323</v>
      </c>
      <c r="C7">
        <v>0</v>
      </c>
      <c r="D7" t="s">
        <v>324</v>
      </c>
    </row>
    <row r="8" spans="1:4">
      <c r="A8" t="s">
        <v>290</v>
      </c>
      <c r="B8" t="s">
        <v>329</v>
      </c>
      <c r="C8" s="14">
        <v>999999.99</v>
      </c>
      <c r="D8" t="s">
        <v>298</v>
      </c>
    </row>
    <row r="9" spans="1:4">
      <c r="A9" t="s">
        <v>290</v>
      </c>
      <c r="B9" t="s">
        <v>330</v>
      </c>
      <c r="C9" s="12">
        <v>1000000</v>
      </c>
      <c r="D9" t="s">
        <v>324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3E59-2606-4DF5-9871-8C06D0180F92}">
  <dimension ref="A1:C7"/>
  <sheetViews>
    <sheetView workbookViewId="0">
      <selection activeCell="B2" sqref="B2"/>
    </sheetView>
  </sheetViews>
  <sheetFormatPr defaultRowHeight="14.5"/>
  <cols>
    <col min="1" max="1" width="34.54296875" customWidth="1"/>
    <col min="2" max="2" width="26.6328125" customWidth="1"/>
    <col min="3" max="3" width="31.6328125" customWidth="1"/>
  </cols>
  <sheetData>
    <row r="1" spans="1:3" ht="17.5">
      <c r="A1" s="15" t="s">
        <v>331</v>
      </c>
      <c r="B1" s="15" t="s">
        <v>332</v>
      </c>
      <c r="C1" s="15" t="s">
        <v>333</v>
      </c>
    </row>
    <row r="2" spans="1:3">
      <c r="A2" s="16" t="s">
        <v>334</v>
      </c>
      <c r="B2" s="16" t="s">
        <v>335</v>
      </c>
      <c r="C2" s="16" t="s">
        <v>310</v>
      </c>
    </row>
    <row r="3" spans="1:3">
      <c r="A3" s="16" t="s">
        <v>336</v>
      </c>
      <c r="B3" s="16" t="s">
        <v>337</v>
      </c>
      <c r="C3" s="16" t="s">
        <v>338</v>
      </c>
    </row>
    <row r="4" spans="1:3">
      <c r="A4" s="16" t="s">
        <v>339</v>
      </c>
      <c r="B4" s="16" t="s">
        <v>340</v>
      </c>
      <c r="C4" s="16" t="s">
        <v>341</v>
      </c>
    </row>
    <row r="5" spans="1:3">
      <c r="A5" s="16" t="s">
        <v>342</v>
      </c>
      <c r="B5" s="16" t="s">
        <v>343</v>
      </c>
      <c r="C5" s="16" t="s">
        <v>338</v>
      </c>
    </row>
    <row r="6" spans="1:3">
      <c r="A6" s="16" t="s">
        <v>344</v>
      </c>
      <c r="B6" s="16" t="s">
        <v>345</v>
      </c>
      <c r="C6" s="16" t="s">
        <v>346</v>
      </c>
    </row>
    <row r="7" spans="1:3">
      <c r="A7" s="16" t="s">
        <v>347</v>
      </c>
      <c r="B7" s="16" t="s">
        <v>348</v>
      </c>
      <c r="C7" s="16" t="s">
        <v>338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63CA-98F5-431F-A161-20A67FCB862D}">
  <dimension ref="A1:E9"/>
  <sheetViews>
    <sheetView zoomScaleNormal="100" workbookViewId="0">
      <selection activeCell="C8" sqref="C8"/>
    </sheetView>
  </sheetViews>
  <sheetFormatPr defaultRowHeight="14.5"/>
  <cols>
    <col min="1" max="1" width="24.81640625" customWidth="1"/>
    <col min="2" max="2" width="46.90625" customWidth="1"/>
    <col min="3" max="3" width="41.36328125" customWidth="1"/>
    <col min="4" max="4" width="25.36328125" customWidth="1"/>
    <col min="5" max="5" width="34.453125" customWidth="1"/>
  </cols>
  <sheetData>
    <row r="1" spans="1:5" ht="15.5">
      <c r="A1" s="7" t="s">
        <v>349</v>
      </c>
      <c r="B1" s="7" t="s">
        <v>350</v>
      </c>
      <c r="C1" s="7" t="s">
        <v>351</v>
      </c>
      <c r="D1" s="7" t="s">
        <v>352</v>
      </c>
      <c r="E1" s="7" t="s">
        <v>353</v>
      </c>
    </row>
    <row r="2" spans="1:5">
      <c r="A2" t="s">
        <v>354</v>
      </c>
      <c r="B2" t="s">
        <v>355</v>
      </c>
      <c r="C2" t="s">
        <v>356</v>
      </c>
      <c r="D2">
        <v>130</v>
      </c>
      <c r="E2" t="s">
        <v>357</v>
      </c>
    </row>
    <row r="3" spans="1:5">
      <c r="A3" t="s">
        <v>358</v>
      </c>
      <c r="B3" t="s">
        <v>359</v>
      </c>
      <c r="C3" t="s">
        <v>360</v>
      </c>
      <c r="D3">
        <v>120</v>
      </c>
      <c r="E3" t="s">
        <v>361</v>
      </c>
    </row>
    <row r="4" spans="1:5">
      <c r="A4" t="s">
        <v>362</v>
      </c>
      <c r="B4" t="s">
        <v>306</v>
      </c>
      <c r="C4" t="s">
        <v>363</v>
      </c>
      <c r="D4">
        <v>90</v>
      </c>
      <c r="E4" t="s">
        <v>364</v>
      </c>
    </row>
    <row r="5" spans="1:5">
      <c r="A5" t="s">
        <v>365</v>
      </c>
      <c r="B5" t="s">
        <v>366</v>
      </c>
      <c r="C5" t="s">
        <v>367</v>
      </c>
      <c r="D5">
        <v>300</v>
      </c>
      <c r="E5" t="s">
        <v>357</v>
      </c>
    </row>
    <row r="6" spans="1:5">
      <c r="A6" t="s">
        <v>368</v>
      </c>
      <c r="B6" t="s">
        <v>369</v>
      </c>
      <c r="C6" t="s">
        <v>370</v>
      </c>
      <c r="D6" t="s">
        <v>138</v>
      </c>
      <c r="E6" t="s">
        <v>371</v>
      </c>
    </row>
    <row r="7" spans="1:5">
      <c r="A7" t="s">
        <v>372</v>
      </c>
      <c r="B7" t="s">
        <v>373</v>
      </c>
      <c r="C7" t="s">
        <v>374</v>
      </c>
      <c r="D7" s="12">
        <v>1500000</v>
      </c>
      <c r="E7" t="s">
        <v>375</v>
      </c>
    </row>
    <row r="8" spans="1:5">
      <c r="A8" t="s">
        <v>376</v>
      </c>
      <c r="B8" t="s">
        <v>377</v>
      </c>
      <c r="C8" t="s">
        <v>378</v>
      </c>
      <c r="D8" s="14">
        <v>999999.99</v>
      </c>
      <c r="E8" t="s">
        <v>357</v>
      </c>
    </row>
    <row r="9" spans="1:5">
      <c r="A9" t="s">
        <v>379</v>
      </c>
      <c r="B9" t="s">
        <v>380</v>
      </c>
      <c r="C9" t="s">
        <v>370</v>
      </c>
      <c r="D9">
        <v>0</v>
      </c>
      <c r="E9" t="s">
        <v>381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428E-0CF9-4C26-BA30-D80B23DF8AD5}">
  <dimension ref="A1:D11"/>
  <sheetViews>
    <sheetView tabSelected="1" workbookViewId="0">
      <selection activeCell="C21" sqref="C21"/>
    </sheetView>
  </sheetViews>
  <sheetFormatPr defaultRowHeight="14.5"/>
  <cols>
    <col min="1" max="1" width="22.7265625" customWidth="1"/>
    <col min="2" max="2" width="69.81640625" customWidth="1"/>
    <col min="3" max="3" width="54.26953125" customWidth="1"/>
    <col min="4" max="4" width="41.26953125" customWidth="1"/>
  </cols>
  <sheetData>
    <row r="1" spans="1:4">
      <c r="A1" s="17" t="s">
        <v>382</v>
      </c>
      <c r="B1" s="17" t="s">
        <v>390</v>
      </c>
      <c r="C1" s="17" t="s">
        <v>391</v>
      </c>
      <c r="D1" s="17" t="s">
        <v>392</v>
      </c>
    </row>
    <row r="2" spans="1:4" ht="43.5">
      <c r="A2" s="19" t="s">
        <v>383</v>
      </c>
      <c r="B2" s="18" t="s">
        <v>393</v>
      </c>
      <c r="C2" s="18" t="s">
        <v>394</v>
      </c>
      <c r="D2" s="18" t="s">
        <v>395</v>
      </c>
    </row>
    <row r="3" spans="1:4" ht="29">
      <c r="A3" s="19" t="s">
        <v>384</v>
      </c>
      <c r="B3" s="18" t="s">
        <v>396</v>
      </c>
      <c r="C3" s="18" t="s">
        <v>397</v>
      </c>
      <c r="D3" s="18" t="s">
        <v>398</v>
      </c>
    </row>
    <row r="4" spans="1:4" ht="43.5">
      <c r="A4" s="19" t="s">
        <v>385</v>
      </c>
      <c r="B4" s="18" t="s">
        <v>399</v>
      </c>
      <c r="C4" s="18" t="s">
        <v>400</v>
      </c>
      <c r="D4" s="18" t="s">
        <v>401</v>
      </c>
    </row>
    <row r="5" spans="1:4" ht="29">
      <c r="A5" s="19" t="s">
        <v>402</v>
      </c>
      <c r="B5" s="18" t="s">
        <v>403</v>
      </c>
      <c r="C5" s="18" t="s">
        <v>404</v>
      </c>
      <c r="D5" s="18" t="s">
        <v>405</v>
      </c>
    </row>
    <row r="6" spans="1:4" ht="29">
      <c r="A6" s="19" t="s">
        <v>386</v>
      </c>
      <c r="B6" s="18" t="s">
        <v>406</v>
      </c>
      <c r="C6" s="18" t="s">
        <v>407</v>
      </c>
      <c r="D6" s="18" t="s">
        <v>408</v>
      </c>
    </row>
    <row r="7" spans="1:4" ht="29">
      <c r="A7" s="19" t="s">
        <v>387</v>
      </c>
      <c r="B7" s="18" t="s">
        <v>409</v>
      </c>
      <c r="C7" s="18" t="s">
        <v>410</v>
      </c>
      <c r="D7" s="18" t="s">
        <v>411</v>
      </c>
    </row>
    <row r="8" spans="1:4" ht="29">
      <c r="A8" s="19" t="s">
        <v>388</v>
      </c>
      <c r="B8" s="18" t="s">
        <v>412</v>
      </c>
      <c r="C8" s="18" t="s">
        <v>413</v>
      </c>
      <c r="D8" s="18" t="s">
        <v>414</v>
      </c>
    </row>
    <row r="9" spans="1:4" ht="29">
      <c r="A9" s="19" t="s">
        <v>415</v>
      </c>
      <c r="B9" s="18" t="s">
        <v>416</v>
      </c>
      <c r="C9" s="18" t="s">
        <v>417</v>
      </c>
      <c r="D9" s="18" t="s">
        <v>418</v>
      </c>
    </row>
    <row r="10" spans="1:4" ht="29">
      <c r="A10" s="19" t="s">
        <v>389</v>
      </c>
      <c r="B10" s="18" t="s">
        <v>419</v>
      </c>
      <c r="C10" s="18" t="s">
        <v>420</v>
      </c>
      <c r="D10" s="18" t="s">
        <v>421</v>
      </c>
    </row>
    <row r="11" spans="1:4" ht="29">
      <c r="A11" s="19" t="s">
        <v>422</v>
      </c>
      <c r="B11" s="18" t="s">
        <v>423</v>
      </c>
      <c r="C11" s="18" t="s">
        <v>424</v>
      </c>
      <c r="D11" s="18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Cover</vt:lpstr>
      <vt:lpstr>Test Case List</vt:lpstr>
      <vt:lpstr>Module 1</vt:lpstr>
      <vt:lpstr>Danh mục</vt:lpstr>
      <vt:lpstr>Module 2</vt:lpstr>
      <vt:lpstr>Test Report</vt:lpstr>
      <vt:lpstr>Profit Margin</vt:lpstr>
      <vt:lpstr>Profit Margin%</vt:lpstr>
      <vt:lpstr>WAC (giá vốn)</vt:lpstr>
      <vt:lpstr>New Price</vt:lpstr>
      <vt:lpstr>Boundary Value Analysis - BVA</vt:lpstr>
      <vt:lpstr>Domain Analysis Testing (DAT)</vt:lpstr>
      <vt:lpstr>bảng Test Case chi tiết</vt:lpstr>
      <vt:lpstr>checklist</vt:lpstr>
      <vt:lpstr>PRIORITY_LIST</vt:lpstr>
      <vt:lpstr>STATUS_LIST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Nguyễn Thành Đạt</cp:lastModifiedBy>
  <dcterms:created xsi:type="dcterms:W3CDTF">2025-10-21T09:36:43Z</dcterms:created>
  <dcterms:modified xsi:type="dcterms:W3CDTF">2025-10-22T15:33:43Z</dcterms:modified>
</cp:coreProperties>
</file>